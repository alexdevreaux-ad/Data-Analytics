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4000" windowHeight="9480" activeTab="4"/>
  </bookViews>
  <sheets>
    <sheet name="Pivot 1" sheetId="3" r:id="rId1"/>
    <sheet name="Start Toyota data" sheetId="1" r:id="rId2"/>
    <sheet name="Pivot &amp; Data" sheetId="2" r:id="rId3"/>
    <sheet name="T Table" sheetId="4" r:id="rId4"/>
    <sheet name="Best case scenario" sheetId="5" r:id="rId5"/>
  </sheets>
  <definedNames>
    <definedName name="_xlnm._FilterDatabase" localSheetId="1" hidden="1">'Start Toyota data'!$A$1:$G$124</definedName>
  </definedNames>
  <calcPr calcId="162913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" i="1" l="1"/>
  <c r="G1" i="1" l="1"/>
  <c r="G5" i="4"/>
  <c r="H5" i="4"/>
  <c r="G2" i="4"/>
  <c r="J2" i="4"/>
</calcChain>
</file>

<file path=xl/sharedStrings.xml><?xml version="1.0" encoding="utf-8"?>
<sst xmlns="http://schemas.openxmlformats.org/spreadsheetml/2006/main" count="624" uniqueCount="26">
  <si>
    <t>pricesold</t>
  </si>
  <si>
    <t>yearsold</t>
  </si>
  <si>
    <t>Make</t>
  </si>
  <si>
    <t>Model</t>
  </si>
  <si>
    <t>Year</t>
  </si>
  <si>
    <t>Toyota</t>
  </si>
  <si>
    <t>Tacoma</t>
  </si>
  <si>
    <t>Tundra</t>
  </si>
  <si>
    <t>Camry</t>
  </si>
  <si>
    <t>Sequoia</t>
  </si>
  <si>
    <t>Sienna</t>
  </si>
  <si>
    <t>Highlander</t>
  </si>
  <si>
    <t>RAV4</t>
  </si>
  <si>
    <t>4Runner</t>
  </si>
  <si>
    <t>Corolla</t>
  </si>
  <si>
    <t>Land Cruiser</t>
  </si>
  <si>
    <t>Prius</t>
  </si>
  <si>
    <t>Prius Prime</t>
  </si>
  <si>
    <t>Avalon</t>
  </si>
  <si>
    <t>Supra</t>
  </si>
  <si>
    <t>GR Supra</t>
  </si>
  <si>
    <t>Row Labels</t>
  </si>
  <si>
    <t>(blank)</t>
  </si>
  <si>
    <t>Grand Total</t>
  </si>
  <si>
    <t>Count of Year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</si>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</sst>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APTOS"/>
    </font>
    <font>
      <sz val="11"/>
      <color theme="1"/>
      <name val="APTOS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3" borderId="1" xfId="0" applyNumberFormat="1" applyFill="1" applyBorder="1"/>
    <xf numFmtId="0" fontId="0" fillId="4" borderId="1" xfId="0" applyFill="1" applyBorder="1" applyAlignment="1">
      <alignment horizontal="left"/>
    </xf>
    <xf numFmtId="0" fontId="0" fillId="4" borderId="1" xfId="0" applyNumberFormat="1" applyFill="1" applyBorder="1"/>
    <xf numFmtId="0" fontId="1" fillId="4" borderId="1" xfId="0" applyFont="1" applyFill="1" applyBorder="1" applyAlignment="1">
      <alignment horizontal="left"/>
    </xf>
    <xf numFmtId="0" fontId="1" fillId="4" borderId="1" xfId="0" applyNumberFormat="1" applyFont="1" applyFill="1" applyBorder="1"/>
    <xf numFmtId="0" fontId="0" fillId="0" borderId="1" xfId="0" pivotButton="1" applyBorder="1"/>
    <xf numFmtId="0" fontId="0" fillId="0" borderId="1" xfId="0" applyBorder="1"/>
    <xf numFmtId="0" fontId="0" fillId="3" borderId="1" xfId="0" applyFill="1" applyBorder="1"/>
    <xf numFmtId="0" fontId="1" fillId="2" borderId="1" xfId="0" applyFont="1" applyFill="1" applyBorder="1"/>
    <xf numFmtId="0" fontId="4" fillId="0" borderId="0" xfId="0" applyFont="1" applyAlignment="1">
      <alignment vertical="center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'Best case scenario'!$A$2:$A$18</c:f>
              <c:strCache>
                <c:ptCount val="17"/>
                <c:pt idx="0">
                  <c:v>Row Labels</c:v>
                </c:pt>
                <c:pt idx="1">
                  <c:v>86</c:v>
                </c:pt>
                <c:pt idx="2">
                  <c:v>4Runner</c:v>
                </c:pt>
                <c:pt idx="3">
                  <c:v>Avalon</c:v>
                </c:pt>
                <c:pt idx="4">
                  <c:v>Camry</c:v>
                </c:pt>
                <c:pt idx="5">
                  <c:v>Corolla</c:v>
                </c:pt>
                <c:pt idx="6">
                  <c:v>GR Supra</c:v>
                </c:pt>
                <c:pt idx="7">
                  <c:v>Highlander</c:v>
                </c:pt>
                <c:pt idx="8">
                  <c:v>Land Cruiser</c:v>
                </c:pt>
                <c:pt idx="9">
                  <c:v>Prius</c:v>
                </c:pt>
                <c:pt idx="10">
                  <c:v>Prius Prime</c:v>
                </c:pt>
                <c:pt idx="11">
                  <c:v>RAV4</c:v>
                </c:pt>
                <c:pt idx="12">
                  <c:v>Sequoia</c:v>
                </c:pt>
                <c:pt idx="13">
                  <c:v>Sienna</c:v>
                </c:pt>
                <c:pt idx="14">
                  <c:v>Supra</c:v>
                </c:pt>
                <c:pt idx="15">
                  <c:v>Tacoma</c:v>
                </c:pt>
                <c:pt idx="16">
                  <c:v>Tundra</c:v>
                </c:pt>
              </c:strCache>
            </c:strRef>
          </c:cat>
          <c:val>
            <c:numRef>
              <c:f>'Best case scenario'!$B$2:$B$18</c:f>
              <c:numCache>
                <c:formatCode>General</c:formatCode>
                <c:ptCount val="17"/>
                <c:pt idx="0">
                  <c:v>2018</c:v>
                </c:pt>
                <c:pt idx="1">
                  <c:v>1</c:v>
                </c:pt>
                <c:pt idx="2">
                  <c:v>7</c:v>
                </c:pt>
                <c:pt idx="4">
                  <c:v>10</c:v>
                </c:pt>
                <c:pt idx="5">
                  <c:v>4</c:v>
                </c:pt>
                <c:pt idx="7">
                  <c:v>7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5">
                  <c:v>5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8-4436-A947-C3506B76A61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'Best case scenario'!$A$2:$A$18</c:f>
              <c:strCache>
                <c:ptCount val="17"/>
                <c:pt idx="0">
                  <c:v>Row Labels</c:v>
                </c:pt>
                <c:pt idx="1">
                  <c:v>86</c:v>
                </c:pt>
                <c:pt idx="2">
                  <c:v>4Runner</c:v>
                </c:pt>
                <c:pt idx="3">
                  <c:v>Avalon</c:v>
                </c:pt>
                <c:pt idx="4">
                  <c:v>Camry</c:v>
                </c:pt>
                <c:pt idx="5">
                  <c:v>Corolla</c:v>
                </c:pt>
                <c:pt idx="6">
                  <c:v>GR Supra</c:v>
                </c:pt>
                <c:pt idx="7">
                  <c:v>Highlander</c:v>
                </c:pt>
                <c:pt idx="8">
                  <c:v>Land Cruiser</c:v>
                </c:pt>
                <c:pt idx="9">
                  <c:v>Prius</c:v>
                </c:pt>
                <c:pt idx="10">
                  <c:v>Prius Prime</c:v>
                </c:pt>
                <c:pt idx="11">
                  <c:v>RAV4</c:v>
                </c:pt>
                <c:pt idx="12">
                  <c:v>Sequoia</c:v>
                </c:pt>
                <c:pt idx="13">
                  <c:v>Sienna</c:v>
                </c:pt>
                <c:pt idx="14">
                  <c:v>Supra</c:v>
                </c:pt>
                <c:pt idx="15">
                  <c:v>Tacoma</c:v>
                </c:pt>
                <c:pt idx="16">
                  <c:v>Tundra</c:v>
                </c:pt>
              </c:strCache>
            </c:strRef>
          </c:cat>
          <c:val>
            <c:numRef>
              <c:f>'Best case scenario'!$C$2:$C$18</c:f>
              <c:numCache>
                <c:formatCode>General</c:formatCode>
                <c:ptCount val="17"/>
                <c:pt idx="0">
                  <c:v>2019</c:v>
                </c:pt>
                <c:pt idx="1">
                  <c:v>1</c:v>
                </c:pt>
                <c:pt idx="2">
                  <c:v>7</c:v>
                </c:pt>
                <c:pt idx="3">
                  <c:v>2</c:v>
                </c:pt>
                <c:pt idx="4">
                  <c:v>12</c:v>
                </c:pt>
                <c:pt idx="5">
                  <c:v>6</c:v>
                </c:pt>
                <c:pt idx="7">
                  <c:v>2</c:v>
                </c:pt>
                <c:pt idx="8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5">
                  <c:v>14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08-4436-A947-C3506B76A61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'Best case scenario'!$A$2:$A$18</c:f>
              <c:strCache>
                <c:ptCount val="17"/>
                <c:pt idx="0">
                  <c:v>Row Labels</c:v>
                </c:pt>
                <c:pt idx="1">
                  <c:v>86</c:v>
                </c:pt>
                <c:pt idx="2">
                  <c:v>4Runner</c:v>
                </c:pt>
                <c:pt idx="3">
                  <c:v>Avalon</c:v>
                </c:pt>
                <c:pt idx="4">
                  <c:v>Camry</c:v>
                </c:pt>
                <c:pt idx="5">
                  <c:v>Corolla</c:v>
                </c:pt>
                <c:pt idx="6">
                  <c:v>GR Supra</c:v>
                </c:pt>
                <c:pt idx="7">
                  <c:v>Highlander</c:v>
                </c:pt>
                <c:pt idx="8">
                  <c:v>Land Cruiser</c:v>
                </c:pt>
                <c:pt idx="9">
                  <c:v>Prius</c:v>
                </c:pt>
                <c:pt idx="10">
                  <c:v>Prius Prime</c:v>
                </c:pt>
                <c:pt idx="11">
                  <c:v>RAV4</c:v>
                </c:pt>
                <c:pt idx="12">
                  <c:v>Sequoia</c:v>
                </c:pt>
                <c:pt idx="13">
                  <c:v>Sienna</c:v>
                </c:pt>
                <c:pt idx="14">
                  <c:v>Supra</c:v>
                </c:pt>
                <c:pt idx="15">
                  <c:v>Tacoma</c:v>
                </c:pt>
                <c:pt idx="16">
                  <c:v>Tundra</c:v>
                </c:pt>
              </c:strCache>
            </c:strRef>
          </c:cat>
          <c:val>
            <c:numRef>
              <c:f>'Best case scenario'!$D$2:$D$18</c:f>
              <c:numCache>
                <c:formatCode>General</c:formatCode>
                <c:ptCount val="17"/>
                <c:pt idx="0">
                  <c:v>2020</c:v>
                </c:pt>
                <c:pt idx="2">
                  <c:v>1</c:v>
                </c:pt>
                <c:pt idx="4">
                  <c:v>1</c:v>
                </c:pt>
                <c:pt idx="6">
                  <c:v>1</c:v>
                </c:pt>
                <c:pt idx="9">
                  <c:v>2</c:v>
                </c:pt>
                <c:pt idx="12">
                  <c:v>1</c:v>
                </c:pt>
                <c:pt idx="14">
                  <c:v>7</c:v>
                </c:pt>
                <c:pt idx="15">
                  <c:v>2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08-4436-A947-C3506B76A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91157391"/>
        <c:axId val="1591164463"/>
      </c:barChart>
      <c:catAx>
        <c:axId val="159115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164463"/>
        <c:crosses val="autoZero"/>
        <c:auto val="1"/>
        <c:lblAlgn val="ctr"/>
        <c:lblOffset val="100"/>
        <c:noMultiLvlLbl val="0"/>
      </c:catAx>
      <c:valAx>
        <c:axId val="159116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15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0</xdr:row>
      <xdr:rowOff>152400</xdr:rowOff>
    </xdr:from>
    <xdr:to>
      <xdr:col>13</xdr:col>
      <xdr:colOff>542925</xdr:colOff>
      <xdr:row>15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48.561760532408" createdVersion="6" refreshedVersion="6" minRefreshableVersion="3" recordCount="124">
  <cacheSource type="worksheet">
    <worksheetSource ref="A1:E1048576" sheet="Start Toyota data"/>
  </cacheSource>
  <cacheFields count="5">
    <cacheField name="pricesold" numFmtId="0">
      <sharedItems containsString="0" containsBlank="1" containsNumber="1" containsInteger="1" minValue="5100" maxValue="65700"/>
    </cacheField>
    <cacheField name="yearsold" numFmtId="0">
      <sharedItems containsString="0" containsBlank="1" containsNumber="1" containsInteger="1" minValue="2020" maxValue="2020"/>
    </cacheField>
    <cacheField name="Make" numFmtId="0">
      <sharedItems containsBlank="1" count="2">
        <s v="Toyota"/>
        <m/>
      </sharedItems>
    </cacheField>
    <cacheField name="Model" numFmtId="0">
      <sharedItems containsBlank="1" containsMixedTypes="1" containsNumber="1" containsInteger="1" minValue="86" maxValue="86" count="17">
        <s v="Tacoma"/>
        <s v="Tundra"/>
        <s v="Camry"/>
        <s v="Sequoia"/>
        <s v="Sienna"/>
        <s v="Highlander"/>
        <s v="RAV4"/>
        <s v="4Runner"/>
        <s v="Corolla"/>
        <s v="Land Cruiser"/>
        <s v="Prius"/>
        <s v="Prius Prime"/>
        <n v="86"/>
        <s v="Avalon"/>
        <s v="Supra"/>
        <s v="GR Supra"/>
        <m/>
      </sharedItems>
    </cacheField>
    <cacheField name="Year" numFmtId="0">
      <sharedItems containsString="0" containsBlank="1" containsNumber="1" containsInteger="1" minValue="2018" maxValue="2020" count="4">
        <n v="2018"/>
        <n v="2019"/>
        <n v="202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4">
  <r>
    <n v="24800"/>
    <n v="2020"/>
    <x v="0"/>
    <x v="0"/>
    <x v="0"/>
  </r>
  <r>
    <n v="25100"/>
    <n v="2020"/>
    <x v="0"/>
    <x v="1"/>
    <x v="0"/>
  </r>
  <r>
    <n v="16690"/>
    <n v="2020"/>
    <x v="0"/>
    <x v="2"/>
    <x v="0"/>
  </r>
  <r>
    <n v="30650"/>
    <n v="2020"/>
    <x v="0"/>
    <x v="1"/>
    <x v="0"/>
  </r>
  <r>
    <n v="32500"/>
    <n v="2020"/>
    <x v="0"/>
    <x v="1"/>
    <x v="0"/>
  </r>
  <r>
    <n v="43200"/>
    <n v="2020"/>
    <x v="0"/>
    <x v="1"/>
    <x v="0"/>
  </r>
  <r>
    <n v="32600"/>
    <n v="2020"/>
    <x v="0"/>
    <x v="3"/>
    <x v="0"/>
  </r>
  <r>
    <n v="11500"/>
    <n v="2020"/>
    <x v="0"/>
    <x v="4"/>
    <x v="0"/>
  </r>
  <r>
    <n v="34000"/>
    <n v="2020"/>
    <x v="0"/>
    <x v="5"/>
    <x v="0"/>
  </r>
  <r>
    <n v="16900"/>
    <n v="2020"/>
    <x v="0"/>
    <x v="6"/>
    <x v="0"/>
  </r>
  <r>
    <n v="22000"/>
    <n v="2020"/>
    <x v="0"/>
    <x v="5"/>
    <x v="0"/>
  </r>
  <r>
    <n v="23100"/>
    <n v="2020"/>
    <x v="0"/>
    <x v="7"/>
    <x v="0"/>
  </r>
  <r>
    <n v="24100"/>
    <n v="2020"/>
    <x v="0"/>
    <x v="7"/>
    <x v="0"/>
  </r>
  <r>
    <n v="31750"/>
    <n v="2020"/>
    <x v="0"/>
    <x v="0"/>
    <x v="0"/>
  </r>
  <r>
    <n v="26500"/>
    <n v="2020"/>
    <x v="0"/>
    <x v="4"/>
    <x v="0"/>
  </r>
  <r>
    <n v="10000"/>
    <n v="2020"/>
    <x v="0"/>
    <x v="8"/>
    <x v="0"/>
  </r>
  <r>
    <n v="14000"/>
    <n v="2020"/>
    <x v="0"/>
    <x v="6"/>
    <x v="0"/>
  </r>
  <r>
    <n v="22100"/>
    <n v="2020"/>
    <x v="0"/>
    <x v="5"/>
    <x v="0"/>
  </r>
  <r>
    <n v="21600"/>
    <n v="2020"/>
    <x v="0"/>
    <x v="5"/>
    <x v="0"/>
  </r>
  <r>
    <n v="23700"/>
    <n v="2020"/>
    <x v="0"/>
    <x v="5"/>
    <x v="0"/>
  </r>
  <r>
    <n v="7500"/>
    <n v="2020"/>
    <x v="0"/>
    <x v="8"/>
    <x v="0"/>
  </r>
  <r>
    <n v="27560"/>
    <n v="2020"/>
    <x v="0"/>
    <x v="7"/>
    <x v="0"/>
  </r>
  <r>
    <n v="23790"/>
    <n v="2020"/>
    <x v="0"/>
    <x v="2"/>
    <x v="0"/>
  </r>
  <r>
    <n v="17590"/>
    <n v="2020"/>
    <x v="0"/>
    <x v="8"/>
    <x v="0"/>
  </r>
  <r>
    <n v="61990"/>
    <n v="2020"/>
    <x v="0"/>
    <x v="9"/>
    <x v="0"/>
  </r>
  <r>
    <n v="27100"/>
    <n v="2020"/>
    <x v="0"/>
    <x v="7"/>
    <x v="0"/>
  </r>
  <r>
    <n v="31600"/>
    <n v="2020"/>
    <x v="0"/>
    <x v="7"/>
    <x v="0"/>
  </r>
  <r>
    <n v="24940"/>
    <n v="2020"/>
    <x v="0"/>
    <x v="2"/>
    <x v="0"/>
  </r>
  <r>
    <n v="22750"/>
    <n v="2020"/>
    <x v="0"/>
    <x v="2"/>
    <x v="0"/>
  </r>
  <r>
    <n v="18500"/>
    <n v="2020"/>
    <x v="0"/>
    <x v="10"/>
    <x v="0"/>
  </r>
  <r>
    <n v="29100"/>
    <n v="2020"/>
    <x v="0"/>
    <x v="1"/>
    <x v="0"/>
  </r>
  <r>
    <n v="15500"/>
    <n v="2020"/>
    <x v="0"/>
    <x v="10"/>
    <x v="0"/>
  </r>
  <r>
    <n v="12800"/>
    <n v="2020"/>
    <x v="0"/>
    <x v="8"/>
    <x v="0"/>
  </r>
  <r>
    <n v="24500"/>
    <n v="2020"/>
    <x v="0"/>
    <x v="5"/>
    <x v="0"/>
  </r>
  <r>
    <n v="7100"/>
    <n v="2020"/>
    <x v="0"/>
    <x v="2"/>
    <x v="0"/>
  </r>
  <r>
    <n v="29820"/>
    <n v="2020"/>
    <x v="0"/>
    <x v="5"/>
    <x v="0"/>
  </r>
  <r>
    <n v="23350"/>
    <n v="2020"/>
    <x v="0"/>
    <x v="7"/>
    <x v="0"/>
  </r>
  <r>
    <n v="24600"/>
    <n v="2020"/>
    <x v="0"/>
    <x v="0"/>
    <x v="0"/>
  </r>
  <r>
    <n v="16500"/>
    <n v="2020"/>
    <x v="0"/>
    <x v="11"/>
    <x v="0"/>
  </r>
  <r>
    <n v="32400"/>
    <n v="2020"/>
    <x v="0"/>
    <x v="0"/>
    <x v="0"/>
  </r>
  <r>
    <n v="24400"/>
    <n v="2020"/>
    <x v="0"/>
    <x v="12"/>
    <x v="0"/>
  </r>
  <r>
    <n v="43100"/>
    <n v="2020"/>
    <x v="0"/>
    <x v="1"/>
    <x v="0"/>
  </r>
  <r>
    <n v="21000"/>
    <n v="2020"/>
    <x v="0"/>
    <x v="2"/>
    <x v="0"/>
  </r>
  <r>
    <n v="20930"/>
    <n v="2020"/>
    <x v="0"/>
    <x v="6"/>
    <x v="0"/>
  </r>
  <r>
    <n v="19660"/>
    <n v="2020"/>
    <x v="0"/>
    <x v="4"/>
    <x v="0"/>
  </r>
  <r>
    <n v="16500"/>
    <n v="2020"/>
    <x v="0"/>
    <x v="6"/>
    <x v="0"/>
  </r>
  <r>
    <n v="19940"/>
    <n v="2020"/>
    <x v="0"/>
    <x v="2"/>
    <x v="0"/>
  </r>
  <r>
    <n v="20150"/>
    <n v="2020"/>
    <x v="0"/>
    <x v="2"/>
    <x v="0"/>
  </r>
  <r>
    <n v="23040"/>
    <n v="2020"/>
    <x v="0"/>
    <x v="2"/>
    <x v="0"/>
  </r>
  <r>
    <n v="32600"/>
    <n v="2020"/>
    <x v="0"/>
    <x v="7"/>
    <x v="0"/>
  </r>
  <r>
    <n v="39900"/>
    <n v="2020"/>
    <x v="0"/>
    <x v="0"/>
    <x v="0"/>
  </r>
  <r>
    <n v="19500"/>
    <n v="2020"/>
    <x v="0"/>
    <x v="2"/>
    <x v="0"/>
  </r>
  <r>
    <n v="16200"/>
    <n v="2020"/>
    <x v="0"/>
    <x v="0"/>
    <x v="1"/>
  </r>
  <r>
    <n v="21900"/>
    <n v="2020"/>
    <x v="0"/>
    <x v="0"/>
    <x v="1"/>
  </r>
  <r>
    <n v="29600"/>
    <n v="2020"/>
    <x v="0"/>
    <x v="4"/>
    <x v="1"/>
  </r>
  <r>
    <n v="25900"/>
    <n v="2020"/>
    <x v="0"/>
    <x v="0"/>
    <x v="1"/>
  </r>
  <r>
    <n v="28890"/>
    <n v="2020"/>
    <x v="0"/>
    <x v="0"/>
    <x v="1"/>
  </r>
  <r>
    <n v="35600"/>
    <n v="2020"/>
    <x v="0"/>
    <x v="3"/>
    <x v="1"/>
  </r>
  <r>
    <n v="38600"/>
    <n v="2020"/>
    <x v="0"/>
    <x v="7"/>
    <x v="1"/>
  </r>
  <r>
    <n v="24000"/>
    <n v="2020"/>
    <x v="0"/>
    <x v="0"/>
    <x v="1"/>
  </r>
  <r>
    <n v="25100"/>
    <n v="2020"/>
    <x v="0"/>
    <x v="5"/>
    <x v="1"/>
  </r>
  <r>
    <n v="37200"/>
    <n v="2020"/>
    <x v="0"/>
    <x v="3"/>
    <x v="1"/>
  </r>
  <r>
    <n v="29900"/>
    <n v="2020"/>
    <x v="0"/>
    <x v="1"/>
    <x v="1"/>
  </r>
  <r>
    <n v="20390"/>
    <n v="2020"/>
    <x v="0"/>
    <x v="2"/>
    <x v="1"/>
  </r>
  <r>
    <n v="26990"/>
    <n v="2020"/>
    <x v="0"/>
    <x v="5"/>
    <x v="1"/>
  </r>
  <r>
    <n v="35100"/>
    <n v="2020"/>
    <x v="0"/>
    <x v="0"/>
    <x v="1"/>
  </r>
  <r>
    <n v="44500"/>
    <n v="2020"/>
    <x v="0"/>
    <x v="7"/>
    <x v="1"/>
  </r>
  <r>
    <n v="14000"/>
    <n v="2020"/>
    <x v="0"/>
    <x v="8"/>
    <x v="1"/>
  </r>
  <r>
    <n v="25100"/>
    <n v="2020"/>
    <x v="0"/>
    <x v="8"/>
    <x v="1"/>
  </r>
  <r>
    <n v="13890"/>
    <n v="2020"/>
    <x v="0"/>
    <x v="2"/>
    <x v="1"/>
  </r>
  <r>
    <n v="27100"/>
    <n v="2020"/>
    <x v="0"/>
    <x v="7"/>
    <x v="1"/>
  </r>
  <r>
    <n v="65700"/>
    <n v="2020"/>
    <x v="0"/>
    <x v="9"/>
    <x v="1"/>
  </r>
  <r>
    <n v="17000"/>
    <n v="2020"/>
    <x v="0"/>
    <x v="2"/>
    <x v="1"/>
  </r>
  <r>
    <n v="16900"/>
    <n v="2020"/>
    <x v="0"/>
    <x v="2"/>
    <x v="1"/>
  </r>
  <r>
    <n v="35000"/>
    <n v="2020"/>
    <x v="0"/>
    <x v="0"/>
    <x v="1"/>
  </r>
  <r>
    <n v="14220"/>
    <n v="2020"/>
    <x v="0"/>
    <x v="8"/>
    <x v="1"/>
  </r>
  <r>
    <n v="25700"/>
    <n v="2020"/>
    <x v="0"/>
    <x v="1"/>
    <x v="1"/>
  </r>
  <r>
    <n v="5100"/>
    <n v="2020"/>
    <x v="0"/>
    <x v="12"/>
    <x v="1"/>
  </r>
  <r>
    <n v="37100"/>
    <n v="2020"/>
    <x v="0"/>
    <x v="7"/>
    <x v="1"/>
  </r>
  <r>
    <n v="65500"/>
    <n v="2020"/>
    <x v="0"/>
    <x v="9"/>
    <x v="1"/>
  </r>
  <r>
    <n v="37900"/>
    <n v="2020"/>
    <x v="0"/>
    <x v="0"/>
    <x v="1"/>
  </r>
  <r>
    <n v="45000"/>
    <n v="2020"/>
    <x v="0"/>
    <x v="7"/>
    <x v="1"/>
  </r>
  <r>
    <n v="38100"/>
    <n v="2020"/>
    <x v="0"/>
    <x v="0"/>
    <x v="1"/>
  </r>
  <r>
    <n v="21500"/>
    <n v="2020"/>
    <x v="0"/>
    <x v="2"/>
    <x v="1"/>
  </r>
  <r>
    <n v="14440"/>
    <n v="2020"/>
    <x v="0"/>
    <x v="8"/>
    <x v="1"/>
  </r>
  <r>
    <n v="13870"/>
    <n v="2020"/>
    <x v="0"/>
    <x v="8"/>
    <x v="1"/>
  </r>
  <r>
    <n v="13170"/>
    <n v="2020"/>
    <x v="0"/>
    <x v="8"/>
    <x v="1"/>
  </r>
  <r>
    <n v="22320"/>
    <n v="2020"/>
    <x v="0"/>
    <x v="7"/>
    <x v="1"/>
  </r>
  <r>
    <n v="22600"/>
    <n v="2020"/>
    <x v="0"/>
    <x v="2"/>
    <x v="1"/>
  </r>
  <r>
    <n v="40500"/>
    <n v="2020"/>
    <x v="0"/>
    <x v="0"/>
    <x v="1"/>
  </r>
  <r>
    <n v="22100"/>
    <n v="2020"/>
    <x v="0"/>
    <x v="7"/>
    <x v="1"/>
  </r>
  <r>
    <n v="34300"/>
    <n v="2020"/>
    <x v="0"/>
    <x v="0"/>
    <x v="1"/>
  </r>
  <r>
    <n v="45000"/>
    <n v="2020"/>
    <x v="0"/>
    <x v="1"/>
    <x v="1"/>
  </r>
  <r>
    <n v="21760"/>
    <n v="2020"/>
    <x v="0"/>
    <x v="2"/>
    <x v="1"/>
  </r>
  <r>
    <n v="38830"/>
    <n v="2020"/>
    <x v="0"/>
    <x v="13"/>
    <x v="1"/>
  </r>
  <r>
    <n v="27280"/>
    <n v="2020"/>
    <x v="0"/>
    <x v="2"/>
    <x v="1"/>
  </r>
  <r>
    <n v="27930"/>
    <n v="2020"/>
    <x v="0"/>
    <x v="2"/>
    <x v="1"/>
  </r>
  <r>
    <n v="31030"/>
    <n v="2020"/>
    <x v="0"/>
    <x v="13"/>
    <x v="1"/>
  </r>
  <r>
    <n v="31410"/>
    <n v="2020"/>
    <x v="0"/>
    <x v="2"/>
    <x v="1"/>
  </r>
  <r>
    <n v="26480"/>
    <n v="2020"/>
    <x v="0"/>
    <x v="0"/>
    <x v="1"/>
  </r>
  <r>
    <n v="33000"/>
    <n v="2020"/>
    <x v="0"/>
    <x v="0"/>
    <x v="1"/>
  </r>
  <r>
    <n v="25000"/>
    <n v="2020"/>
    <x v="0"/>
    <x v="4"/>
    <x v="1"/>
  </r>
  <r>
    <n v="26100"/>
    <n v="2020"/>
    <x v="0"/>
    <x v="6"/>
    <x v="1"/>
  </r>
  <r>
    <n v="25100"/>
    <n v="2020"/>
    <x v="0"/>
    <x v="4"/>
    <x v="1"/>
  </r>
  <r>
    <n v="30100"/>
    <n v="2020"/>
    <x v="0"/>
    <x v="0"/>
    <x v="1"/>
  </r>
  <r>
    <n v="25000"/>
    <n v="2020"/>
    <x v="0"/>
    <x v="2"/>
    <x v="1"/>
  </r>
  <r>
    <n v="25600"/>
    <n v="2020"/>
    <x v="0"/>
    <x v="2"/>
    <x v="1"/>
  </r>
  <r>
    <n v="19500"/>
    <n v="2020"/>
    <x v="0"/>
    <x v="2"/>
    <x v="2"/>
  </r>
  <r>
    <n v="51000"/>
    <n v="2020"/>
    <x v="0"/>
    <x v="14"/>
    <x v="2"/>
  </r>
  <r>
    <n v="36000"/>
    <n v="2020"/>
    <x v="0"/>
    <x v="0"/>
    <x v="2"/>
  </r>
  <r>
    <n v="42100"/>
    <n v="2020"/>
    <x v="0"/>
    <x v="14"/>
    <x v="2"/>
  </r>
  <r>
    <n v="50000"/>
    <n v="2020"/>
    <x v="0"/>
    <x v="14"/>
    <x v="2"/>
  </r>
  <r>
    <n v="42300"/>
    <n v="2020"/>
    <x v="0"/>
    <x v="0"/>
    <x v="2"/>
  </r>
  <r>
    <n v="42100"/>
    <n v="2020"/>
    <x v="0"/>
    <x v="14"/>
    <x v="2"/>
  </r>
  <r>
    <n v="40300"/>
    <n v="2020"/>
    <x v="0"/>
    <x v="14"/>
    <x v="2"/>
  </r>
  <r>
    <n v="47900"/>
    <n v="2020"/>
    <x v="0"/>
    <x v="1"/>
    <x v="2"/>
  </r>
  <r>
    <n v="23600"/>
    <n v="2020"/>
    <x v="0"/>
    <x v="10"/>
    <x v="2"/>
  </r>
  <r>
    <n v="49700"/>
    <n v="2020"/>
    <x v="0"/>
    <x v="15"/>
    <x v="2"/>
  </r>
  <r>
    <n v="23600"/>
    <n v="2020"/>
    <x v="0"/>
    <x v="10"/>
    <x v="2"/>
  </r>
  <r>
    <n v="50000"/>
    <n v="2020"/>
    <x v="0"/>
    <x v="14"/>
    <x v="2"/>
  </r>
  <r>
    <n v="49100"/>
    <n v="2020"/>
    <x v="0"/>
    <x v="14"/>
    <x v="2"/>
  </r>
  <r>
    <n v="51990"/>
    <n v="2020"/>
    <x v="0"/>
    <x v="7"/>
    <x v="2"/>
  </r>
  <r>
    <n v="32300"/>
    <n v="2020"/>
    <x v="0"/>
    <x v="3"/>
    <x v="2"/>
  </r>
  <r>
    <m/>
    <m/>
    <x v="1"/>
    <x v="1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22" firstHeaderRow="1" firstDataRow="2" firstDataCol="1"/>
  <pivotFields count="5"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18">
        <item x="12"/>
        <item x="7"/>
        <item x="13"/>
        <item x="2"/>
        <item x="8"/>
        <item x="15"/>
        <item x="5"/>
        <item x="9"/>
        <item x="10"/>
        <item x="11"/>
        <item x="6"/>
        <item x="3"/>
        <item x="4"/>
        <item x="14"/>
        <item x="0"/>
        <item x="1"/>
        <item x="16"/>
        <item t="default"/>
      </items>
    </pivotField>
    <pivotField axis="axisCol" dataField="1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Yea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1:K20" firstHeaderRow="1" firstDataRow="2" firstDataCol="1"/>
  <pivotFields count="5"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18">
        <item x="12"/>
        <item x="7"/>
        <item x="13"/>
        <item x="2"/>
        <item x="8"/>
        <item x="15"/>
        <item x="5"/>
        <item x="9"/>
        <item x="10"/>
        <item x="11"/>
        <item x="6"/>
        <item x="3"/>
        <item x="4"/>
        <item x="14"/>
        <item x="0"/>
        <item x="1"/>
        <item x="16"/>
        <item t="default"/>
      </items>
    </pivotField>
    <pivotField axis="axisCol" dataField="1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Year" fld="4" subtotal="count" baseField="0" baseItem="0"/>
  </dataFields>
  <formats count="14">
    <format dxfId="17">
      <pivotArea field="3" grandCol="1" collapsedLevelsAreSubtotals="1" axis="axisRow" fieldPosition="0">
        <references count="1">
          <reference field="3" count="0"/>
        </references>
      </pivotArea>
    </format>
    <format dxfId="16">
      <pivotArea type="topRight" dataOnly="0" labelOnly="1" outline="0" offset="D1" fieldPosition="0"/>
    </format>
    <format dxfId="15">
      <pivotArea dataOnly="0" labelOnly="1" grandCol="1" outline="0" fieldPosition="0"/>
    </format>
    <format dxfId="14">
      <pivotArea grandRow="1" outline="0" collapsedLevelsAreSubtotals="1" fieldPosition="0"/>
    </format>
    <format dxfId="13">
      <pivotArea dataOnly="0" labelOnly="1" grandRow="1" outline="0" fieldPosition="0"/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Row="1" outline="0" fieldPosition="0"/>
    </format>
    <format dxfId="9">
      <pivotArea type="origin" dataOnly="0" labelOnly="1" outline="0" fieldPosition="0"/>
    </format>
    <format dxfId="8">
      <pivotArea field="4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3" type="button" dataOnly="0" labelOnly="1" outline="0" axis="axisRow" fieldPosition="0"/>
    </format>
    <format dxfId="5">
      <pivotArea dataOnly="0" labelOnly="1" fieldPosition="0">
        <references count="1">
          <reference field="4" count="0"/>
        </references>
      </pivotArea>
    </format>
    <format dxfId="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Table4" displayName="Table4" ref="D1:E1048576" totalsRowShown="0" headerRowDxfId="0" dataDxfId="1">
  <tableColumns count="2">
    <tableColumn id="1" name="Model" dataDxfId="3"/>
    <tableColumn id="2" name="Yea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2"/>
  <sheetViews>
    <sheetView workbookViewId="0">
      <selection activeCell="D26" sqref="D26"/>
    </sheetView>
  </sheetViews>
  <sheetFormatPr defaultRowHeight="15"/>
  <cols>
    <col min="1" max="1" width="13.140625" bestFit="1" customWidth="1"/>
    <col min="2" max="2" width="16.28515625" bestFit="1" customWidth="1"/>
    <col min="3" max="4" width="5" bestFit="1" customWidth="1"/>
    <col min="5" max="5" width="7.28515625" bestFit="1" customWidth="1"/>
    <col min="6" max="6" width="11.28515625" bestFit="1" customWidth="1"/>
  </cols>
  <sheetData>
    <row r="3" spans="1:6">
      <c r="A3" s="6" t="s">
        <v>24</v>
      </c>
      <c r="B3" s="6" t="s">
        <v>25</v>
      </c>
    </row>
    <row r="4" spans="1:6">
      <c r="A4" s="6" t="s">
        <v>21</v>
      </c>
      <c r="B4">
        <v>2018</v>
      </c>
      <c r="C4">
        <v>2019</v>
      </c>
      <c r="D4">
        <v>2020</v>
      </c>
      <c r="E4" t="s">
        <v>22</v>
      </c>
      <c r="F4" t="s">
        <v>23</v>
      </c>
    </row>
    <row r="5" spans="1:6">
      <c r="A5" s="7">
        <v>86</v>
      </c>
      <c r="B5" s="8">
        <v>1</v>
      </c>
      <c r="C5" s="8">
        <v>1</v>
      </c>
      <c r="D5" s="8"/>
      <c r="E5" s="8"/>
      <c r="F5" s="8">
        <v>2</v>
      </c>
    </row>
    <row r="6" spans="1:6">
      <c r="A6" s="7" t="s">
        <v>13</v>
      </c>
      <c r="B6" s="8">
        <v>7</v>
      </c>
      <c r="C6" s="8">
        <v>7</v>
      </c>
      <c r="D6" s="8">
        <v>1</v>
      </c>
      <c r="E6" s="8"/>
      <c r="F6" s="8">
        <v>15</v>
      </c>
    </row>
    <row r="7" spans="1:6">
      <c r="A7" s="7" t="s">
        <v>18</v>
      </c>
      <c r="B7" s="8"/>
      <c r="C7" s="8">
        <v>2</v>
      </c>
      <c r="D7" s="8"/>
      <c r="E7" s="8"/>
      <c r="F7" s="8">
        <v>2</v>
      </c>
    </row>
    <row r="8" spans="1:6">
      <c r="A8" s="7" t="s">
        <v>8</v>
      </c>
      <c r="B8" s="8">
        <v>10</v>
      </c>
      <c r="C8" s="8">
        <v>12</v>
      </c>
      <c r="D8" s="8">
        <v>1</v>
      </c>
      <c r="E8" s="8"/>
      <c r="F8" s="8">
        <v>23</v>
      </c>
    </row>
    <row r="9" spans="1:6">
      <c r="A9" s="7" t="s">
        <v>14</v>
      </c>
      <c r="B9" s="8">
        <v>4</v>
      </c>
      <c r="C9" s="8">
        <v>6</v>
      </c>
      <c r="D9" s="8"/>
      <c r="E9" s="8"/>
      <c r="F9" s="8">
        <v>10</v>
      </c>
    </row>
    <row r="10" spans="1:6">
      <c r="A10" s="7" t="s">
        <v>20</v>
      </c>
      <c r="B10" s="8"/>
      <c r="C10" s="8"/>
      <c r="D10" s="8">
        <v>1</v>
      </c>
      <c r="E10" s="8"/>
      <c r="F10" s="8">
        <v>1</v>
      </c>
    </row>
    <row r="11" spans="1:6">
      <c r="A11" s="7" t="s">
        <v>11</v>
      </c>
      <c r="B11" s="8">
        <v>7</v>
      </c>
      <c r="C11" s="8">
        <v>2</v>
      </c>
      <c r="D11" s="8"/>
      <c r="E11" s="8"/>
      <c r="F11" s="8">
        <v>9</v>
      </c>
    </row>
    <row r="12" spans="1:6">
      <c r="A12" s="7" t="s">
        <v>15</v>
      </c>
      <c r="B12" s="8">
        <v>1</v>
      </c>
      <c r="C12" s="8">
        <v>2</v>
      </c>
      <c r="D12" s="8"/>
      <c r="E12" s="8"/>
      <c r="F12" s="8">
        <v>3</v>
      </c>
    </row>
    <row r="13" spans="1:6">
      <c r="A13" s="7" t="s">
        <v>16</v>
      </c>
      <c r="B13" s="8">
        <v>2</v>
      </c>
      <c r="C13" s="8"/>
      <c r="D13" s="8">
        <v>2</v>
      </c>
      <c r="E13" s="8"/>
      <c r="F13" s="8">
        <v>4</v>
      </c>
    </row>
    <row r="14" spans="1:6">
      <c r="A14" s="7" t="s">
        <v>17</v>
      </c>
      <c r="B14" s="8">
        <v>1</v>
      </c>
      <c r="C14" s="8"/>
      <c r="D14" s="8"/>
      <c r="E14" s="8"/>
      <c r="F14" s="8">
        <v>1</v>
      </c>
    </row>
    <row r="15" spans="1:6">
      <c r="A15" s="7" t="s">
        <v>12</v>
      </c>
      <c r="B15" s="8">
        <v>4</v>
      </c>
      <c r="C15" s="8">
        <v>1</v>
      </c>
      <c r="D15" s="8"/>
      <c r="E15" s="8"/>
      <c r="F15" s="8">
        <v>5</v>
      </c>
    </row>
    <row r="16" spans="1:6">
      <c r="A16" s="7" t="s">
        <v>9</v>
      </c>
      <c r="B16" s="8">
        <v>1</v>
      </c>
      <c r="C16" s="8">
        <v>2</v>
      </c>
      <c r="D16" s="8">
        <v>1</v>
      </c>
      <c r="E16" s="8"/>
      <c r="F16" s="8">
        <v>4</v>
      </c>
    </row>
    <row r="17" spans="1:6">
      <c r="A17" s="7" t="s">
        <v>10</v>
      </c>
      <c r="B17" s="8">
        <v>3</v>
      </c>
      <c r="C17" s="8">
        <v>3</v>
      </c>
      <c r="D17" s="8"/>
      <c r="E17" s="8"/>
      <c r="F17" s="8">
        <v>6</v>
      </c>
    </row>
    <row r="18" spans="1:6">
      <c r="A18" s="7" t="s">
        <v>19</v>
      </c>
      <c r="B18" s="8"/>
      <c r="C18" s="8"/>
      <c r="D18" s="8">
        <v>7</v>
      </c>
      <c r="E18" s="8"/>
      <c r="F18" s="8">
        <v>7</v>
      </c>
    </row>
    <row r="19" spans="1:6">
      <c r="A19" s="7" t="s">
        <v>6</v>
      </c>
      <c r="B19" s="8">
        <v>5</v>
      </c>
      <c r="C19" s="8">
        <v>14</v>
      </c>
      <c r="D19" s="8">
        <v>2</v>
      </c>
      <c r="E19" s="8"/>
      <c r="F19" s="8">
        <v>21</v>
      </c>
    </row>
    <row r="20" spans="1:6">
      <c r="A20" s="7" t="s">
        <v>7</v>
      </c>
      <c r="B20" s="8">
        <v>6</v>
      </c>
      <c r="C20" s="8">
        <v>3</v>
      </c>
      <c r="D20" s="8">
        <v>1</v>
      </c>
      <c r="E20" s="8"/>
      <c r="F20" s="8">
        <v>10</v>
      </c>
    </row>
    <row r="21" spans="1:6">
      <c r="A21" s="7" t="s">
        <v>22</v>
      </c>
      <c r="B21" s="8"/>
      <c r="C21" s="8"/>
      <c r="D21" s="8"/>
      <c r="E21" s="8"/>
      <c r="F21" s="8"/>
    </row>
    <row r="22" spans="1:6">
      <c r="A22" s="7" t="s">
        <v>23</v>
      </c>
      <c r="B22" s="8">
        <v>52</v>
      </c>
      <c r="C22" s="8">
        <v>55</v>
      </c>
      <c r="D22" s="8">
        <v>16</v>
      </c>
      <c r="E22" s="8"/>
      <c r="F22" s="8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4"/>
  <sheetViews>
    <sheetView workbookViewId="0">
      <selection activeCell="D1" sqref="D1:E1048576"/>
    </sheetView>
  </sheetViews>
  <sheetFormatPr defaultRowHeight="15"/>
  <cols>
    <col min="1" max="5" width="9.140625" style="2"/>
    <col min="9" max="9" width="12.28515625" style="2" customWidth="1"/>
    <col min="10" max="10" width="12.7109375" style="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e">
        <f ca="1">Unique(D2:E118)</f>
        <v>#NAME?</v>
      </c>
      <c r="G1">
        <f ca="1">COUNTIFS(D:D, F1, E:E, H2)</f>
        <v>0</v>
      </c>
      <c r="I1" s="1" t="s">
        <v>3</v>
      </c>
      <c r="J1" s="3" t="s">
        <v>4</v>
      </c>
    </row>
    <row r="2" spans="1:10">
      <c r="A2" s="2">
        <v>24800</v>
      </c>
      <c r="B2" s="2">
        <v>2020</v>
      </c>
      <c r="C2" s="2" t="s">
        <v>5</v>
      </c>
      <c r="D2" s="2" t="s">
        <v>6</v>
      </c>
      <c r="E2" s="2">
        <v>2018</v>
      </c>
      <c r="I2" s="2" t="s">
        <v>6</v>
      </c>
      <c r="J2" s="4">
        <v>2018</v>
      </c>
    </row>
    <row r="3" spans="1:10">
      <c r="A3" s="2">
        <v>25100</v>
      </c>
      <c r="B3" s="2">
        <v>2020</v>
      </c>
      <c r="C3" s="2" t="s">
        <v>5</v>
      </c>
      <c r="D3" s="2" t="s">
        <v>7</v>
      </c>
      <c r="E3" s="2">
        <v>2018</v>
      </c>
      <c r="I3" s="2" t="s">
        <v>7</v>
      </c>
      <c r="J3" s="4">
        <v>2018</v>
      </c>
    </row>
    <row r="4" spans="1:10">
      <c r="A4" s="2">
        <v>16690</v>
      </c>
      <c r="B4" s="2">
        <v>2020</v>
      </c>
      <c r="C4" s="2" t="s">
        <v>5</v>
      </c>
      <c r="D4" s="2" t="s">
        <v>8</v>
      </c>
      <c r="E4" s="2">
        <v>2018</v>
      </c>
      <c r="I4" s="2" t="s">
        <v>8</v>
      </c>
      <c r="J4" s="4">
        <v>2018</v>
      </c>
    </row>
    <row r="5" spans="1:10">
      <c r="A5" s="2">
        <v>30650</v>
      </c>
      <c r="B5" s="2">
        <v>2020</v>
      </c>
      <c r="C5" s="2" t="s">
        <v>5</v>
      </c>
      <c r="D5" s="2" t="s">
        <v>7</v>
      </c>
      <c r="E5" s="2">
        <v>2018</v>
      </c>
      <c r="I5" s="2" t="s">
        <v>9</v>
      </c>
      <c r="J5" s="4">
        <v>2018</v>
      </c>
    </row>
    <row r="6" spans="1:10">
      <c r="A6" s="2">
        <v>32500</v>
      </c>
      <c r="B6" s="2">
        <v>2020</v>
      </c>
      <c r="C6" s="2" t="s">
        <v>5</v>
      </c>
      <c r="D6" s="2" t="s">
        <v>7</v>
      </c>
      <c r="E6" s="2">
        <v>2018</v>
      </c>
      <c r="I6" s="2" t="s">
        <v>10</v>
      </c>
      <c r="J6" s="4">
        <v>2018</v>
      </c>
    </row>
    <row r="7" spans="1:10">
      <c r="A7" s="2">
        <v>43200</v>
      </c>
      <c r="B7" s="2">
        <v>2020</v>
      </c>
      <c r="C7" s="2" t="s">
        <v>5</v>
      </c>
      <c r="D7" s="2" t="s">
        <v>7</v>
      </c>
      <c r="E7" s="2">
        <v>2018</v>
      </c>
      <c r="I7" s="2" t="s">
        <v>11</v>
      </c>
      <c r="J7" s="4">
        <v>2018</v>
      </c>
    </row>
    <row r="8" spans="1:10">
      <c r="A8" s="2">
        <v>32600</v>
      </c>
      <c r="B8" s="2">
        <v>2020</v>
      </c>
      <c r="C8" s="2" t="s">
        <v>5</v>
      </c>
      <c r="D8" s="2" t="s">
        <v>9</v>
      </c>
      <c r="E8" s="2">
        <v>2018</v>
      </c>
      <c r="I8" s="2" t="s">
        <v>12</v>
      </c>
      <c r="J8" s="4">
        <v>2018</v>
      </c>
    </row>
    <row r="9" spans="1:10">
      <c r="A9" s="2">
        <v>11500</v>
      </c>
      <c r="B9" s="2">
        <v>2020</v>
      </c>
      <c r="C9" s="2" t="s">
        <v>5</v>
      </c>
      <c r="D9" s="2" t="s">
        <v>10</v>
      </c>
      <c r="E9" s="2">
        <v>2018</v>
      </c>
      <c r="I9" s="2" t="s">
        <v>13</v>
      </c>
      <c r="J9" s="4">
        <v>2018</v>
      </c>
    </row>
    <row r="10" spans="1:10">
      <c r="A10" s="2">
        <v>34000</v>
      </c>
      <c r="B10" s="2">
        <v>2020</v>
      </c>
      <c r="C10" s="2" t="s">
        <v>5</v>
      </c>
      <c r="D10" s="2" t="s">
        <v>11</v>
      </c>
      <c r="E10" s="2">
        <v>2018</v>
      </c>
      <c r="I10" s="2" t="s">
        <v>14</v>
      </c>
      <c r="J10" s="4">
        <v>2018</v>
      </c>
    </row>
    <row r="11" spans="1:10">
      <c r="A11" s="2">
        <v>16900</v>
      </c>
      <c r="B11" s="2">
        <v>2020</v>
      </c>
      <c r="C11" s="2" t="s">
        <v>5</v>
      </c>
      <c r="D11" s="2" t="s">
        <v>12</v>
      </c>
      <c r="E11" s="2">
        <v>2018</v>
      </c>
      <c r="I11" s="2" t="s">
        <v>15</v>
      </c>
      <c r="J11" s="4">
        <v>2018</v>
      </c>
    </row>
    <row r="12" spans="1:10">
      <c r="A12" s="2">
        <v>22000</v>
      </c>
      <c r="B12" s="2">
        <v>2020</v>
      </c>
      <c r="C12" s="2" t="s">
        <v>5</v>
      </c>
      <c r="D12" s="2" t="s">
        <v>11</v>
      </c>
      <c r="E12" s="2">
        <v>2018</v>
      </c>
      <c r="I12" s="2" t="s">
        <v>16</v>
      </c>
      <c r="J12" s="4">
        <v>2018</v>
      </c>
    </row>
    <row r="13" spans="1:10">
      <c r="A13" s="2">
        <v>23100</v>
      </c>
      <c r="B13" s="2">
        <v>2020</v>
      </c>
      <c r="C13" s="2" t="s">
        <v>5</v>
      </c>
      <c r="D13" s="2" t="s">
        <v>13</v>
      </c>
      <c r="E13" s="2">
        <v>2018</v>
      </c>
      <c r="I13" s="2" t="s">
        <v>17</v>
      </c>
      <c r="J13" s="4">
        <v>2018</v>
      </c>
    </row>
    <row r="14" spans="1:10">
      <c r="A14" s="2">
        <v>24100</v>
      </c>
      <c r="B14" s="2">
        <v>2020</v>
      </c>
      <c r="C14" s="2" t="s">
        <v>5</v>
      </c>
      <c r="D14" s="2" t="s">
        <v>13</v>
      </c>
      <c r="E14" s="2">
        <v>2018</v>
      </c>
      <c r="I14" s="2">
        <v>86</v>
      </c>
      <c r="J14" s="4">
        <v>2018</v>
      </c>
    </row>
    <row r="15" spans="1:10">
      <c r="A15" s="2">
        <v>31750</v>
      </c>
      <c r="B15" s="2">
        <v>2020</v>
      </c>
      <c r="C15" s="2" t="s">
        <v>5</v>
      </c>
      <c r="D15" s="2" t="s">
        <v>6</v>
      </c>
      <c r="E15" s="2">
        <v>2018</v>
      </c>
      <c r="I15" s="2" t="s">
        <v>6</v>
      </c>
      <c r="J15" s="4">
        <v>2019</v>
      </c>
    </row>
    <row r="16" spans="1:10">
      <c r="A16" s="2">
        <v>26500</v>
      </c>
      <c r="B16" s="2">
        <v>2020</v>
      </c>
      <c r="C16" s="2" t="s">
        <v>5</v>
      </c>
      <c r="D16" s="2" t="s">
        <v>10</v>
      </c>
      <c r="E16" s="2">
        <v>2018</v>
      </c>
      <c r="I16" s="2" t="s">
        <v>10</v>
      </c>
      <c r="J16" s="4">
        <v>2019</v>
      </c>
    </row>
    <row r="17" spans="1:10">
      <c r="A17" s="2">
        <v>10000</v>
      </c>
      <c r="B17" s="2">
        <v>2020</v>
      </c>
      <c r="C17" s="2" t="s">
        <v>5</v>
      </c>
      <c r="D17" s="2" t="s">
        <v>14</v>
      </c>
      <c r="E17" s="2">
        <v>2018</v>
      </c>
      <c r="I17" s="2" t="s">
        <v>9</v>
      </c>
      <c r="J17" s="4">
        <v>2019</v>
      </c>
    </row>
    <row r="18" spans="1:10">
      <c r="A18" s="2">
        <v>14000</v>
      </c>
      <c r="B18" s="2">
        <v>2020</v>
      </c>
      <c r="C18" s="2" t="s">
        <v>5</v>
      </c>
      <c r="D18" s="2" t="s">
        <v>12</v>
      </c>
      <c r="E18" s="2">
        <v>2018</v>
      </c>
      <c r="I18" s="2" t="s">
        <v>13</v>
      </c>
      <c r="J18" s="4">
        <v>2019</v>
      </c>
    </row>
    <row r="19" spans="1:10">
      <c r="A19" s="2">
        <v>22100</v>
      </c>
      <c r="B19" s="2">
        <v>2020</v>
      </c>
      <c r="C19" s="2" t="s">
        <v>5</v>
      </c>
      <c r="D19" s="2" t="s">
        <v>11</v>
      </c>
      <c r="E19" s="2">
        <v>2018</v>
      </c>
      <c r="I19" s="2" t="s">
        <v>11</v>
      </c>
      <c r="J19" s="4">
        <v>2019</v>
      </c>
    </row>
    <row r="20" spans="1:10">
      <c r="A20" s="2">
        <v>21600</v>
      </c>
      <c r="B20" s="2">
        <v>2020</v>
      </c>
      <c r="C20" s="2" t="s">
        <v>5</v>
      </c>
      <c r="D20" s="2" t="s">
        <v>11</v>
      </c>
      <c r="E20" s="2">
        <v>2018</v>
      </c>
      <c r="I20" s="2" t="s">
        <v>7</v>
      </c>
      <c r="J20" s="4">
        <v>2019</v>
      </c>
    </row>
    <row r="21" spans="1:10">
      <c r="A21" s="2">
        <v>23700</v>
      </c>
      <c r="B21" s="2">
        <v>2020</v>
      </c>
      <c r="C21" s="2" t="s">
        <v>5</v>
      </c>
      <c r="D21" s="2" t="s">
        <v>11</v>
      </c>
      <c r="E21" s="2">
        <v>2018</v>
      </c>
      <c r="I21" s="2" t="s">
        <v>8</v>
      </c>
      <c r="J21" s="4">
        <v>2019</v>
      </c>
    </row>
    <row r="22" spans="1:10">
      <c r="A22" s="2">
        <v>7500</v>
      </c>
      <c r="B22" s="2">
        <v>2020</v>
      </c>
      <c r="C22" s="2" t="s">
        <v>5</v>
      </c>
      <c r="D22" s="2" t="s">
        <v>14</v>
      </c>
      <c r="E22" s="2">
        <v>2018</v>
      </c>
      <c r="I22" s="2" t="s">
        <v>14</v>
      </c>
      <c r="J22" s="4">
        <v>2019</v>
      </c>
    </row>
    <row r="23" spans="1:10">
      <c r="A23" s="2">
        <v>27560</v>
      </c>
      <c r="B23" s="2">
        <v>2020</v>
      </c>
      <c r="C23" s="2" t="s">
        <v>5</v>
      </c>
      <c r="D23" s="2" t="s">
        <v>13</v>
      </c>
      <c r="E23" s="2">
        <v>2018</v>
      </c>
      <c r="I23" s="2" t="s">
        <v>15</v>
      </c>
      <c r="J23" s="4">
        <v>2019</v>
      </c>
    </row>
    <row r="24" spans="1:10">
      <c r="A24" s="2">
        <v>23790</v>
      </c>
      <c r="B24" s="2">
        <v>2020</v>
      </c>
      <c r="C24" s="2" t="s">
        <v>5</v>
      </c>
      <c r="D24" s="2" t="s">
        <v>8</v>
      </c>
      <c r="E24" s="2">
        <v>2018</v>
      </c>
      <c r="I24" s="2">
        <v>86</v>
      </c>
      <c r="J24" s="4">
        <v>2019</v>
      </c>
    </row>
    <row r="25" spans="1:10">
      <c r="A25" s="2">
        <v>17590</v>
      </c>
      <c r="B25" s="2">
        <v>2020</v>
      </c>
      <c r="C25" s="2" t="s">
        <v>5</v>
      </c>
      <c r="D25" s="2" t="s">
        <v>14</v>
      </c>
      <c r="E25" s="2">
        <v>2018</v>
      </c>
      <c r="I25" s="2" t="s">
        <v>18</v>
      </c>
      <c r="J25" s="4">
        <v>2019</v>
      </c>
    </row>
    <row r="26" spans="1:10">
      <c r="A26" s="2">
        <v>61990</v>
      </c>
      <c r="B26" s="2">
        <v>2020</v>
      </c>
      <c r="C26" s="2" t="s">
        <v>5</v>
      </c>
      <c r="D26" s="2" t="s">
        <v>15</v>
      </c>
      <c r="E26" s="2">
        <v>2018</v>
      </c>
      <c r="I26" s="2" t="s">
        <v>12</v>
      </c>
      <c r="J26" s="4">
        <v>2019</v>
      </c>
    </row>
    <row r="27" spans="1:10">
      <c r="A27" s="2">
        <v>27100</v>
      </c>
      <c r="B27" s="2">
        <v>2020</v>
      </c>
      <c r="C27" s="2" t="s">
        <v>5</v>
      </c>
      <c r="D27" s="2" t="s">
        <v>13</v>
      </c>
      <c r="E27" s="2">
        <v>2018</v>
      </c>
      <c r="I27" s="2" t="s">
        <v>8</v>
      </c>
      <c r="J27" s="4">
        <v>2020</v>
      </c>
    </row>
    <row r="28" spans="1:10">
      <c r="A28" s="2">
        <v>31600</v>
      </c>
      <c r="B28" s="2">
        <v>2020</v>
      </c>
      <c r="C28" s="2" t="s">
        <v>5</v>
      </c>
      <c r="D28" s="2" t="s">
        <v>13</v>
      </c>
      <c r="E28" s="2">
        <v>2018</v>
      </c>
      <c r="I28" s="2" t="s">
        <v>19</v>
      </c>
      <c r="J28" s="4">
        <v>2020</v>
      </c>
    </row>
    <row r="29" spans="1:10">
      <c r="A29" s="2">
        <v>24940</v>
      </c>
      <c r="B29" s="2">
        <v>2020</v>
      </c>
      <c r="C29" s="2" t="s">
        <v>5</v>
      </c>
      <c r="D29" s="2" t="s">
        <v>8</v>
      </c>
      <c r="E29" s="2">
        <v>2018</v>
      </c>
      <c r="I29" s="2" t="s">
        <v>6</v>
      </c>
      <c r="J29" s="4">
        <v>2020</v>
      </c>
    </row>
    <row r="30" spans="1:10">
      <c r="A30" s="2">
        <v>22750</v>
      </c>
      <c r="B30" s="2">
        <v>2020</v>
      </c>
      <c r="C30" s="2" t="s">
        <v>5</v>
      </c>
      <c r="D30" s="2" t="s">
        <v>8</v>
      </c>
      <c r="E30" s="2">
        <v>2018</v>
      </c>
      <c r="I30" s="2" t="s">
        <v>7</v>
      </c>
      <c r="J30" s="4">
        <v>2020</v>
      </c>
    </row>
    <row r="31" spans="1:10">
      <c r="A31" s="2">
        <v>18500</v>
      </c>
      <c r="B31" s="2">
        <v>2020</v>
      </c>
      <c r="C31" s="2" t="s">
        <v>5</v>
      </c>
      <c r="D31" s="2" t="s">
        <v>16</v>
      </c>
      <c r="E31" s="2">
        <v>2018</v>
      </c>
      <c r="I31" s="2" t="s">
        <v>16</v>
      </c>
      <c r="J31" s="4">
        <v>2020</v>
      </c>
    </row>
    <row r="32" spans="1:10">
      <c r="A32" s="2">
        <v>29100</v>
      </c>
      <c r="B32" s="2">
        <v>2020</v>
      </c>
      <c r="C32" s="2" t="s">
        <v>5</v>
      </c>
      <c r="D32" s="2" t="s">
        <v>7</v>
      </c>
      <c r="E32" s="2">
        <v>2018</v>
      </c>
      <c r="I32" s="2" t="s">
        <v>20</v>
      </c>
      <c r="J32" s="4">
        <v>2020</v>
      </c>
    </row>
    <row r="33" spans="1:10">
      <c r="A33" s="2">
        <v>15500</v>
      </c>
      <c r="B33" s="2">
        <v>2020</v>
      </c>
      <c r="C33" s="2" t="s">
        <v>5</v>
      </c>
      <c r="D33" s="2" t="s">
        <v>16</v>
      </c>
      <c r="E33" s="2">
        <v>2018</v>
      </c>
      <c r="I33" s="2" t="s">
        <v>13</v>
      </c>
      <c r="J33" s="4">
        <v>2020</v>
      </c>
    </row>
    <row r="34" spans="1:10">
      <c r="A34" s="2">
        <v>12800</v>
      </c>
      <c r="B34" s="2">
        <v>2020</v>
      </c>
      <c r="C34" s="2" t="s">
        <v>5</v>
      </c>
      <c r="D34" s="2" t="s">
        <v>14</v>
      </c>
      <c r="E34" s="2">
        <v>2018</v>
      </c>
      <c r="I34" s="2" t="s">
        <v>9</v>
      </c>
      <c r="J34" s="4">
        <v>2020</v>
      </c>
    </row>
    <row r="35" spans="1:10">
      <c r="A35" s="2">
        <v>24500</v>
      </c>
      <c r="B35" s="2">
        <v>2020</v>
      </c>
      <c r="C35" s="2" t="s">
        <v>5</v>
      </c>
      <c r="D35" s="2" t="s">
        <v>11</v>
      </c>
      <c r="E35" s="2">
        <v>2018</v>
      </c>
      <c r="I35"/>
      <c r="J35" s="5"/>
    </row>
    <row r="36" spans="1:10">
      <c r="A36" s="2">
        <v>7100</v>
      </c>
      <c r="B36" s="2">
        <v>2020</v>
      </c>
      <c r="C36" s="2" t="s">
        <v>5</v>
      </c>
      <c r="D36" s="2" t="s">
        <v>8</v>
      </c>
      <c r="E36" s="2">
        <v>2018</v>
      </c>
      <c r="I36"/>
      <c r="J36" s="5"/>
    </row>
    <row r="37" spans="1:10">
      <c r="A37" s="2">
        <v>29820</v>
      </c>
      <c r="B37" s="2">
        <v>2020</v>
      </c>
      <c r="C37" s="2" t="s">
        <v>5</v>
      </c>
      <c r="D37" s="2" t="s">
        <v>11</v>
      </c>
      <c r="E37" s="2">
        <v>2018</v>
      </c>
      <c r="I37"/>
      <c r="J37" s="5"/>
    </row>
    <row r="38" spans="1:10">
      <c r="A38" s="2">
        <v>23350</v>
      </c>
      <c r="B38" s="2">
        <v>2020</v>
      </c>
      <c r="C38" s="2" t="s">
        <v>5</v>
      </c>
      <c r="D38" s="2" t="s">
        <v>13</v>
      </c>
      <c r="E38" s="2">
        <v>2018</v>
      </c>
      <c r="I38"/>
      <c r="J38" s="5"/>
    </row>
    <row r="39" spans="1:10">
      <c r="A39" s="2">
        <v>24600</v>
      </c>
      <c r="B39" s="2">
        <v>2020</v>
      </c>
      <c r="C39" s="2" t="s">
        <v>5</v>
      </c>
      <c r="D39" s="2" t="s">
        <v>6</v>
      </c>
      <c r="E39" s="2">
        <v>2018</v>
      </c>
      <c r="I39"/>
      <c r="J39" s="5"/>
    </row>
    <row r="40" spans="1:10">
      <c r="A40" s="2">
        <v>16500</v>
      </c>
      <c r="B40" s="2">
        <v>2020</v>
      </c>
      <c r="C40" s="2" t="s">
        <v>5</v>
      </c>
      <c r="D40" s="2" t="s">
        <v>17</v>
      </c>
      <c r="E40" s="2">
        <v>2018</v>
      </c>
      <c r="I40"/>
      <c r="J40" s="5"/>
    </row>
    <row r="41" spans="1:10">
      <c r="A41" s="2">
        <v>32400</v>
      </c>
      <c r="B41" s="2">
        <v>2020</v>
      </c>
      <c r="C41" s="2" t="s">
        <v>5</v>
      </c>
      <c r="D41" s="2" t="s">
        <v>6</v>
      </c>
      <c r="E41" s="2">
        <v>2018</v>
      </c>
      <c r="I41"/>
      <c r="J41" s="5"/>
    </row>
    <row r="42" spans="1:10">
      <c r="A42" s="2">
        <v>24400</v>
      </c>
      <c r="B42" s="2">
        <v>2020</v>
      </c>
      <c r="C42" s="2" t="s">
        <v>5</v>
      </c>
      <c r="D42" s="2">
        <v>86</v>
      </c>
      <c r="E42" s="2">
        <v>2018</v>
      </c>
      <c r="I42"/>
      <c r="J42" s="5"/>
    </row>
    <row r="43" spans="1:10">
      <c r="A43" s="2">
        <v>43100</v>
      </c>
      <c r="B43" s="2">
        <v>2020</v>
      </c>
      <c r="C43" s="2" t="s">
        <v>5</v>
      </c>
      <c r="D43" s="2" t="s">
        <v>7</v>
      </c>
      <c r="E43" s="2">
        <v>2018</v>
      </c>
      <c r="I43"/>
      <c r="J43" s="5"/>
    </row>
    <row r="44" spans="1:10">
      <c r="A44" s="2">
        <v>21000</v>
      </c>
      <c r="B44" s="2">
        <v>2020</v>
      </c>
      <c r="C44" s="2" t="s">
        <v>5</v>
      </c>
      <c r="D44" s="2" t="s">
        <v>8</v>
      </c>
      <c r="E44" s="2">
        <v>2018</v>
      </c>
      <c r="I44"/>
      <c r="J44" s="5"/>
    </row>
    <row r="45" spans="1:10">
      <c r="A45" s="2">
        <v>20930</v>
      </c>
      <c r="B45" s="2">
        <v>2020</v>
      </c>
      <c r="C45" s="2" t="s">
        <v>5</v>
      </c>
      <c r="D45" s="2" t="s">
        <v>12</v>
      </c>
      <c r="E45" s="2">
        <v>2018</v>
      </c>
      <c r="I45"/>
      <c r="J45" s="5"/>
    </row>
    <row r="46" spans="1:10">
      <c r="A46" s="2">
        <v>19660</v>
      </c>
      <c r="B46" s="2">
        <v>2020</v>
      </c>
      <c r="C46" s="2" t="s">
        <v>5</v>
      </c>
      <c r="D46" s="2" t="s">
        <v>10</v>
      </c>
      <c r="E46" s="2">
        <v>2018</v>
      </c>
      <c r="I46"/>
      <c r="J46" s="5"/>
    </row>
    <row r="47" spans="1:10">
      <c r="A47" s="2">
        <v>16500</v>
      </c>
      <c r="B47" s="2">
        <v>2020</v>
      </c>
      <c r="C47" s="2" t="s">
        <v>5</v>
      </c>
      <c r="D47" s="2" t="s">
        <v>12</v>
      </c>
      <c r="E47" s="2">
        <v>2018</v>
      </c>
      <c r="I47"/>
      <c r="J47" s="5"/>
    </row>
    <row r="48" spans="1:10">
      <c r="A48" s="2">
        <v>19940</v>
      </c>
      <c r="B48" s="2">
        <v>2020</v>
      </c>
      <c r="C48" s="2" t="s">
        <v>5</v>
      </c>
      <c r="D48" s="2" t="s">
        <v>8</v>
      </c>
      <c r="E48" s="2">
        <v>2018</v>
      </c>
      <c r="I48"/>
      <c r="J48" s="5"/>
    </row>
    <row r="49" spans="1:10">
      <c r="A49" s="2">
        <v>20150</v>
      </c>
      <c r="B49" s="2">
        <v>2020</v>
      </c>
      <c r="C49" s="2" t="s">
        <v>5</v>
      </c>
      <c r="D49" s="2" t="s">
        <v>8</v>
      </c>
      <c r="E49" s="2">
        <v>2018</v>
      </c>
      <c r="I49"/>
      <c r="J49" s="5"/>
    </row>
    <row r="50" spans="1:10">
      <c r="A50" s="2">
        <v>23040</v>
      </c>
      <c r="B50" s="2">
        <v>2020</v>
      </c>
      <c r="C50" s="2" t="s">
        <v>5</v>
      </c>
      <c r="D50" s="2" t="s">
        <v>8</v>
      </c>
      <c r="E50" s="2">
        <v>2018</v>
      </c>
      <c r="I50"/>
      <c r="J50" s="5"/>
    </row>
    <row r="51" spans="1:10">
      <c r="A51" s="2">
        <v>32600</v>
      </c>
      <c r="B51" s="2">
        <v>2020</v>
      </c>
      <c r="C51" s="2" t="s">
        <v>5</v>
      </c>
      <c r="D51" s="2" t="s">
        <v>13</v>
      </c>
      <c r="E51" s="2">
        <v>2018</v>
      </c>
      <c r="I51"/>
      <c r="J51" s="5"/>
    </row>
    <row r="52" spans="1:10">
      <c r="A52" s="2">
        <v>39900</v>
      </c>
      <c r="B52" s="2">
        <v>2020</v>
      </c>
      <c r="C52" s="2" t="s">
        <v>5</v>
      </c>
      <c r="D52" s="2" t="s">
        <v>6</v>
      </c>
      <c r="E52" s="2">
        <v>2018</v>
      </c>
      <c r="I52"/>
      <c r="J52" s="5"/>
    </row>
    <row r="53" spans="1:10">
      <c r="A53" s="2">
        <v>19500</v>
      </c>
      <c r="B53" s="2">
        <v>2020</v>
      </c>
      <c r="C53" s="2" t="s">
        <v>5</v>
      </c>
      <c r="D53" s="2" t="s">
        <v>8</v>
      </c>
      <c r="E53" s="2">
        <v>2018</v>
      </c>
      <c r="I53"/>
      <c r="J53" s="5"/>
    </row>
    <row r="54" spans="1:10">
      <c r="A54" s="2">
        <v>16200</v>
      </c>
      <c r="B54" s="2">
        <v>2020</v>
      </c>
      <c r="C54" s="2" t="s">
        <v>5</v>
      </c>
      <c r="D54" s="2" t="s">
        <v>6</v>
      </c>
      <c r="E54" s="2">
        <v>2019</v>
      </c>
      <c r="I54"/>
      <c r="J54" s="5"/>
    </row>
    <row r="55" spans="1:10">
      <c r="A55" s="2">
        <v>21900</v>
      </c>
      <c r="B55" s="2">
        <v>2020</v>
      </c>
      <c r="C55" s="2" t="s">
        <v>5</v>
      </c>
      <c r="D55" s="2" t="s">
        <v>6</v>
      </c>
      <c r="E55" s="2">
        <v>2019</v>
      </c>
      <c r="I55"/>
      <c r="J55" s="5"/>
    </row>
    <row r="56" spans="1:10">
      <c r="A56" s="2">
        <v>29600</v>
      </c>
      <c r="B56" s="2">
        <v>2020</v>
      </c>
      <c r="C56" s="2" t="s">
        <v>5</v>
      </c>
      <c r="D56" s="2" t="s">
        <v>10</v>
      </c>
      <c r="E56" s="2">
        <v>2019</v>
      </c>
      <c r="I56"/>
      <c r="J56" s="5"/>
    </row>
    <row r="57" spans="1:10">
      <c r="A57" s="2">
        <v>25900</v>
      </c>
      <c r="B57" s="2">
        <v>2020</v>
      </c>
      <c r="C57" s="2" t="s">
        <v>5</v>
      </c>
      <c r="D57" s="2" t="s">
        <v>6</v>
      </c>
      <c r="E57" s="2">
        <v>2019</v>
      </c>
      <c r="I57"/>
      <c r="J57" s="5"/>
    </row>
    <row r="58" spans="1:10">
      <c r="A58" s="2">
        <v>28890</v>
      </c>
      <c r="B58" s="2">
        <v>2020</v>
      </c>
      <c r="C58" s="2" t="s">
        <v>5</v>
      </c>
      <c r="D58" s="2" t="s">
        <v>6</v>
      </c>
      <c r="E58" s="2">
        <v>2019</v>
      </c>
      <c r="I58"/>
      <c r="J58" s="5"/>
    </row>
    <row r="59" spans="1:10">
      <c r="A59" s="2">
        <v>35600</v>
      </c>
      <c r="B59" s="2">
        <v>2020</v>
      </c>
      <c r="C59" s="2" t="s">
        <v>5</v>
      </c>
      <c r="D59" s="2" t="s">
        <v>9</v>
      </c>
      <c r="E59" s="2">
        <v>2019</v>
      </c>
      <c r="I59"/>
      <c r="J59" s="5"/>
    </row>
    <row r="60" spans="1:10">
      <c r="A60" s="2">
        <v>38600</v>
      </c>
      <c r="B60" s="2">
        <v>2020</v>
      </c>
      <c r="C60" s="2" t="s">
        <v>5</v>
      </c>
      <c r="D60" s="2" t="s">
        <v>13</v>
      </c>
      <c r="E60" s="2">
        <v>2019</v>
      </c>
      <c r="I60"/>
      <c r="J60" s="5"/>
    </row>
    <row r="61" spans="1:10">
      <c r="A61" s="2">
        <v>24000</v>
      </c>
      <c r="B61" s="2">
        <v>2020</v>
      </c>
      <c r="C61" s="2" t="s">
        <v>5</v>
      </c>
      <c r="D61" s="2" t="s">
        <v>6</v>
      </c>
      <c r="E61" s="2">
        <v>2019</v>
      </c>
      <c r="I61"/>
      <c r="J61" s="5"/>
    </row>
    <row r="62" spans="1:10">
      <c r="A62" s="2">
        <v>25100</v>
      </c>
      <c r="B62" s="2">
        <v>2020</v>
      </c>
      <c r="C62" s="2" t="s">
        <v>5</v>
      </c>
      <c r="D62" s="2" t="s">
        <v>11</v>
      </c>
      <c r="E62" s="2">
        <v>2019</v>
      </c>
      <c r="I62"/>
      <c r="J62" s="5"/>
    </row>
    <row r="63" spans="1:10">
      <c r="A63" s="2">
        <v>37200</v>
      </c>
      <c r="B63" s="2">
        <v>2020</v>
      </c>
      <c r="C63" s="2" t="s">
        <v>5</v>
      </c>
      <c r="D63" s="2" t="s">
        <v>9</v>
      </c>
      <c r="E63" s="2">
        <v>2019</v>
      </c>
      <c r="I63"/>
      <c r="J63" s="5"/>
    </row>
    <row r="64" spans="1:10">
      <c r="A64" s="2">
        <v>29900</v>
      </c>
      <c r="B64" s="2">
        <v>2020</v>
      </c>
      <c r="C64" s="2" t="s">
        <v>5</v>
      </c>
      <c r="D64" s="2" t="s">
        <v>7</v>
      </c>
      <c r="E64" s="2">
        <v>2019</v>
      </c>
      <c r="I64"/>
      <c r="J64" s="5"/>
    </row>
    <row r="65" spans="1:10">
      <c r="A65" s="2">
        <v>20390</v>
      </c>
      <c r="B65" s="2">
        <v>2020</v>
      </c>
      <c r="C65" s="2" t="s">
        <v>5</v>
      </c>
      <c r="D65" s="2" t="s">
        <v>8</v>
      </c>
      <c r="E65" s="2">
        <v>2019</v>
      </c>
      <c r="I65"/>
      <c r="J65" s="5"/>
    </row>
    <row r="66" spans="1:10">
      <c r="A66" s="2">
        <v>26990</v>
      </c>
      <c r="B66" s="2">
        <v>2020</v>
      </c>
      <c r="C66" s="2" t="s">
        <v>5</v>
      </c>
      <c r="D66" s="2" t="s">
        <v>11</v>
      </c>
      <c r="E66" s="2">
        <v>2019</v>
      </c>
      <c r="I66"/>
      <c r="J66" s="5"/>
    </row>
    <row r="67" spans="1:10">
      <c r="A67" s="2">
        <v>35100</v>
      </c>
      <c r="B67" s="2">
        <v>2020</v>
      </c>
      <c r="C67" s="2" t="s">
        <v>5</v>
      </c>
      <c r="D67" s="2" t="s">
        <v>6</v>
      </c>
      <c r="E67" s="2">
        <v>2019</v>
      </c>
      <c r="I67"/>
      <c r="J67" s="5"/>
    </row>
    <row r="68" spans="1:10">
      <c r="A68" s="2">
        <v>44500</v>
      </c>
      <c r="B68" s="2">
        <v>2020</v>
      </c>
      <c r="C68" s="2" t="s">
        <v>5</v>
      </c>
      <c r="D68" s="2" t="s">
        <v>13</v>
      </c>
      <c r="E68" s="2">
        <v>2019</v>
      </c>
      <c r="I68"/>
      <c r="J68" s="5"/>
    </row>
    <row r="69" spans="1:10">
      <c r="A69" s="2">
        <v>14000</v>
      </c>
      <c r="B69" s="2">
        <v>2020</v>
      </c>
      <c r="C69" s="2" t="s">
        <v>5</v>
      </c>
      <c r="D69" s="2" t="s">
        <v>14</v>
      </c>
      <c r="E69" s="2">
        <v>2019</v>
      </c>
      <c r="I69"/>
      <c r="J69" s="5"/>
    </row>
    <row r="70" spans="1:10">
      <c r="A70" s="2">
        <v>25100</v>
      </c>
      <c r="B70" s="2">
        <v>2020</v>
      </c>
      <c r="C70" s="2" t="s">
        <v>5</v>
      </c>
      <c r="D70" s="2" t="s">
        <v>14</v>
      </c>
      <c r="E70" s="2">
        <v>2019</v>
      </c>
      <c r="I70"/>
      <c r="J70" s="5"/>
    </row>
    <row r="71" spans="1:10">
      <c r="A71" s="2">
        <v>13890</v>
      </c>
      <c r="B71" s="2">
        <v>2020</v>
      </c>
      <c r="C71" s="2" t="s">
        <v>5</v>
      </c>
      <c r="D71" s="2" t="s">
        <v>8</v>
      </c>
      <c r="E71" s="2">
        <v>2019</v>
      </c>
      <c r="I71"/>
      <c r="J71" s="5"/>
    </row>
    <row r="72" spans="1:10">
      <c r="A72" s="2">
        <v>27100</v>
      </c>
      <c r="B72" s="2">
        <v>2020</v>
      </c>
      <c r="C72" s="2" t="s">
        <v>5</v>
      </c>
      <c r="D72" s="2" t="s">
        <v>13</v>
      </c>
      <c r="E72" s="2">
        <v>2019</v>
      </c>
      <c r="I72"/>
      <c r="J72" s="5"/>
    </row>
    <row r="73" spans="1:10">
      <c r="A73" s="2">
        <v>65700</v>
      </c>
      <c r="B73" s="2">
        <v>2020</v>
      </c>
      <c r="C73" s="2" t="s">
        <v>5</v>
      </c>
      <c r="D73" s="2" t="s">
        <v>15</v>
      </c>
      <c r="E73" s="2">
        <v>2019</v>
      </c>
      <c r="I73"/>
      <c r="J73" s="5"/>
    </row>
    <row r="74" spans="1:10">
      <c r="A74" s="2">
        <v>17000</v>
      </c>
      <c r="B74" s="2">
        <v>2020</v>
      </c>
      <c r="C74" s="2" t="s">
        <v>5</v>
      </c>
      <c r="D74" s="2" t="s">
        <v>8</v>
      </c>
      <c r="E74" s="2">
        <v>2019</v>
      </c>
      <c r="I74"/>
      <c r="J74" s="5"/>
    </row>
    <row r="75" spans="1:10">
      <c r="A75" s="2">
        <v>16900</v>
      </c>
      <c r="B75" s="2">
        <v>2020</v>
      </c>
      <c r="C75" s="2" t="s">
        <v>5</v>
      </c>
      <c r="D75" s="2" t="s">
        <v>8</v>
      </c>
      <c r="E75" s="2">
        <v>2019</v>
      </c>
      <c r="I75"/>
      <c r="J75" s="5"/>
    </row>
    <row r="76" spans="1:10">
      <c r="A76" s="2">
        <v>35000</v>
      </c>
      <c r="B76" s="2">
        <v>2020</v>
      </c>
      <c r="C76" s="2" t="s">
        <v>5</v>
      </c>
      <c r="D76" s="2" t="s">
        <v>6</v>
      </c>
      <c r="E76" s="2">
        <v>2019</v>
      </c>
      <c r="I76"/>
      <c r="J76" s="5"/>
    </row>
    <row r="77" spans="1:10">
      <c r="A77" s="2">
        <v>14220</v>
      </c>
      <c r="B77" s="2">
        <v>2020</v>
      </c>
      <c r="C77" s="2" t="s">
        <v>5</v>
      </c>
      <c r="D77" s="2" t="s">
        <v>14</v>
      </c>
      <c r="E77" s="2">
        <v>2019</v>
      </c>
      <c r="I77"/>
      <c r="J77" s="5"/>
    </row>
    <row r="78" spans="1:10">
      <c r="A78" s="2">
        <v>25700</v>
      </c>
      <c r="B78" s="2">
        <v>2020</v>
      </c>
      <c r="C78" s="2" t="s">
        <v>5</v>
      </c>
      <c r="D78" s="2" t="s">
        <v>7</v>
      </c>
      <c r="E78" s="2">
        <v>2019</v>
      </c>
      <c r="I78"/>
      <c r="J78" s="5"/>
    </row>
    <row r="79" spans="1:10">
      <c r="A79" s="2">
        <v>5100</v>
      </c>
      <c r="B79" s="2">
        <v>2020</v>
      </c>
      <c r="C79" s="2" t="s">
        <v>5</v>
      </c>
      <c r="D79" s="2">
        <v>86</v>
      </c>
      <c r="E79" s="2">
        <v>2019</v>
      </c>
      <c r="I79"/>
      <c r="J79" s="5"/>
    </row>
    <row r="80" spans="1:10">
      <c r="A80" s="2">
        <v>37100</v>
      </c>
      <c r="B80" s="2">
        <v>2020</v>
      </c>
      <c r="C80" s="2" t="s">
        <v>5</v>
      </c>
      <c r="D80" s="2" t="s">
        <v>13</v>
      </c>
      <c r="E80" s="2">
        <v>2019</v>
      </c>
      <c r="I80"/>
      <c r="J80" s="5"/>
    </row>
    <row r="81" spans="1:10">
      <c r="A81" s="2">
        <v>65500</v>
      </c>
      <c r="B81" s="2">
        <v>2020</v>
      </c>
      <c r="C81" s="2" t="s">
        <v>5</v>
      </c>
      <c r="D81" s="2" t="s">
        <v>15</v>
      </c>
      <c r="E81" s="2">
        <v>2019</v>
      </c>
      <c r="I81"/>
      <c r="J81" s="5"/>
    </row>
    <row r="82" spans="1:10">
      <c r="A82" s="2">
        <v>37900</v>
      </c>
      <c r="B82" s="2">
        <v>2020</v>
      </c>
      <c r="C82" s="2" t="s">
        <v>5</v>
      </c>
      <c r="D82" s="2" t="s">
        <v>6</v>
      </c>
      <c r="E82" s="2">
        <v>2019</v>
      </c>
      <c r="I82"/>
      <c r="J82" s="5"/>
    </row>
    <row r="83" spans="1:10">
      <c r="A83" s="2">
        <v>45000</v>
      </c>
      <c r="B83" s="2">
        <v>2020</v>
      </c>
      <c r="C83" s="2" t="s">
        <v>5</v>
      </c>
      <c r="D83" s="2" t="s">
        <v>13</v>
      </c>
      <c r="E83" s="2">
        <v>2019</v>
      </c>
      <c r="I83"/>
      <c r="J83" s="5"/>
    </row>
    <row r="84" spans="1:10">
      <c r="A84" s="2">
        <v>38100</v>
      </c>
      <c r="B84" s="2">
        <v>2020</v>
      </c>
      <c r="C84" s="2" t="s">
        <v>5</v>
      </c>
      <c r="D84" s="2" t="s">
        <v>6</v>
      </c>
      <c r="E84" s="2">
        <v>2019</v>
      </c>
      <c r="I84"/>
      <c r="J84" s="5"/>
    </row>
    <row r="85" spans="1:10">
      <c r="A85" s="2">
        <v>21500</v>
      </c>
      <c r="B85" s="2">
        <v>2020</v>
      </c>
      <c r="C85" s="2" t="s">
        <v>5</v>
      </c>
      <c r="D85" s="2" t="s">
        <v>8</v>
      </c>
      <c r="E85" s="2">
        <v>2019</v>
      </c>
      <c r="I85"/>
      <c r="J85" s="5"/>
    </row>
    <row r="86" spans="1:10">
      <c r="A86" s="2">
        <v>14440</v>
      </c>
      <c r="B86" s="2">
        <v>2020</v>
      </c>
      <c r="C86" s="2" t="s">
        <v>5</v>
      </c>
      <c r="D86" s="2" t="s">
        <v>14</v>
      </c>
      <c r="E86" s="2">
        <v>2019</v>
      </c>
      <c r="I86"/>
      <c r="J86" s="5"/>
    </row>
    <row r="87" spans="1:10">
      <c r="A87" s="2">
        <v>13870</v>
      </c>
      <c r="B87" s="2">
        <v>2020</v>
      </c>
      <c r="C87" s="2" t="s">
        <v>5</v>
      </c>
      <c r="D87" s="2" t="s">
        <v>14</v>
      </c>
      <c r="E87" s="2">
        <v>2019</v>
      </c>
      <c r="I87"/>
      <c r="J87" s="5"/>
    </row>
    <row r="88" spans="1:10">
      <c r="A88" s="2">
        <v>13170</v>
      </c>
      <c r="B88" s="2">
        <v>2020</v>
      </c>
      <c r="C88" s="2" t="s">
        <v>5</v>
      </c>
      <c r="D88" s="2" t="s">
        <v>14</v>
      </c>
      <c r="E88" s="2">
        <v>2019</v>
      </c>
      <c r="I88"/>
      <c r="J88" s="5"/>
    </row>
    <row r="89" spans="1:10">
      <c r="A89" s="2">
        <v>22320</v>
      </c>
      <c r="B89" s="2">
        <v>2020</v>
      </c>
      <c r="C89" s="2" t="s">
        <v>5</v>
      </c>
      <c r="D89" s="2" t="s">
        <v>13</v>
      </c>
      <c r="E89" s="2">
        <v>2019</v>
      </c>
      <c r="I89"/>
      <c r="J89" s="5"/>
    </row>
    <row r="90" spans="1:10">
      <c r="A90" s="2">
        <v>22600</v>
      </c>
      <c r="B90" s="2">
        <v>2020</v>
      </c>
      <c r="C90" s="2" t="s">
        <v>5</v>
      </c>
      <c r="D90" s="2" t="s">
        <v>8</v>
      </c>
      <c r="E90" s="2">
        <v>2019</v>
      </c>
      <c r="I90"/>
      <c r="J90" s="5"/>
    </row>
    <row r="91" spans="1:10">
      <c r="A91" s="2">
        <v>40500</v>
      </c>
      <c r="B91" s="2">
        <v>2020</v>
      </c>
      <c r="C91" s="2" t="s">
        <v>5</v>
      </c>
      <c r="D91" s="2" t="s">
        <v>6</v>
      </c>
      <c r="E91" s="2">
        <v>2019</v>
      </c>
      <c r="I91"/>
      <c r="J91" s="5"/>
    </row>
    <row r="92" spans="1:10">
      <c r="A92" s="2">
        <v>22100</v>
      </c>
      <c r="B92" s="2">
        <v>2020</v>
      </c>
      <c r="C92" s="2" t="s">
        <v>5</v>
      </c>
      <c r="D92" s="2" t="s">
        <v>13</v>
      </c>
      <c r="E92" s="2">
        <v>2019</v>
      </c>
      <c r="I92"/>
      <c r="J92" s="5"/>
    </row>
    <row r="93" spans="1:10">
      <c r="A93" s="2">
        <v>34300</v>
      </c>
      <c r="B93" s="2">
        <v>2020</v>
      </c>
      <c r="C93" s="2" t="s">
        <v>5</v>
      </c>
      <c r="D93" s="2" t="s">
        <v>6</v>
      </c>
      <c r="E93" s="2">
        <v>2019</v>
      </c>
      <c r="I93"/>
      <c r="J93" s="5"/>
    </row>
    <row r="94" spans="1:10">
      <c r="A94" s="2">
        <v>45000</v>
      </c>
      <c r="B94" s="2">
        <v>2020</v>
      </c>
      <c r="C94" s="2" t="s">
        <v>5</v>
      </c>
      <c r="D94" s="2" t="s">
        <v>7</v>
      </c>
      <c r="E94" s="2">
        <v>2019</v>
      </c>
      <c r="I94"/>
      <c r="J94" s="5"/>
    </row>
    <row r="95" spans="1:10">
      <c r="A95" s="2">
        <v>21760</v>
      </c>
      <c r="B95" s="2">
        <v>2020</v>
      </c>
      <c r="C95" s="2" t="s">
        <v>5</v>
      </c>
      <c r="D95" s="2" t="s">
        <v>8</v>
      </c>
      <c r="E95" s="2">
        <v>2019</v>
      </c>
      <c r="I95"/>
      <c r="J95" s="5"/>
    </row>
    <row r="96" spans="1:10">
      <c r="A96" s="2">
        <v>38830</v>
      </c>
      <c r="B96" s="2">
        <v>2020</v>
      </c>
      <c r="C96" s="2" t="s">
        <v>5</v>
      </c>
      <c r="D96" s="2" t="s">
        <v>18</v>
      </c>
      <c r="E96" s="2">
        <v>2019</v>
      </c>
      <c r="I96"/>
      <c r="J96" s="5"/>
    </row>
    <row r="97" spans="1:10">
      <c r="A97" s="2">
        <v>27280</v>
      </c>
      <c r="B97" s="2">
        <v>2020</v>
      </c>
      <c r="C97" s="2" t="s">
        <v>5</v>
      </c>
      <c r="D97" s="2" t="s">
        <v>8</v>
      </c>
      <c r="E97" s="2">
        <v>2019</v>
      </c>
      <c r="I97"/>
      <c r="J97" s="5"/>
    </row>
    <row r="98" spans="1:10">
      <c r="A98" s="2">
        <v>27930</v>
      </c>
      <c r="B98" s="2">
        <v>2020</v>
      </c>
      <c r="C98" s="2" t="s">
        <v>5</v>
      </c>
      <c r="D98" s="2" t="s">
        <v>8</v>
      </c>
      <c r="E98" s="2">
        <v>2019</v>
      </c>
      <c r="I98"/>
      <c r="J98" s="5"/>
    </row>
    <row r="99" spans="1:10">
      <c r="A99" s="2">
        <v>31030</v>
      </c>
      <c r="B99" s="2">
        <v>2020</v>
      </c>
      <c r="C99" s="2" t="s">
        <v>5</v>
      </c>
      <c r="D99" s="2" t="s">
        <v>18</v>
      </c>
      <c r="E99" s="2">
        <v>2019</v>
      </c>
      <c r="I99"/>
      <c r="J99" s="5"/>
    </row>
    <row r="100" spans="1:10">
      <c r="A100" s="2">
        <v>31410</v>
      </c>
      <c r="B100" s="2">
        <v>2020</v>
      </c>
      <c r="C100" s="2" t="s">
        <v>5</v>
      </c>
      <c r="D100" s="2" t="s">
        <v>8</v>
      </c>
      <c r="E100" s="2">
        <v>2019</v>
      </c>
      <c r="I100"/>
      <c r="J100" s="5"/>
    </row>
    <row r="101" spans="1:10">
      <c r="A101" s="2">
        <v>26480</v>
      </c>
      <c r="B101" s="2">
        <v>2020</v>
      </c>
      <c r="C101" s="2" t="s">
        <v>5</v>
      </c>
      <c r="D101" s="2" t="s">
        <v>6</v>
      </c>
      <c r="E101" s="2">
        <v>2019</v>
      </c>
      <c r="I101"/>
      <c r="J101" s="5"/>
    </row>
    <row r="102" spans="1:10">
      <c r="A102" s="2">
        <v>33000</v>
      </c>
      <c r="B102" s="2">
        <v>2020</v>
      </c>
      <c r="C102" s="2" t="s">
        <v>5</v>
      </c>
      <c r="D102" s="2" t="s">
        <v>6</v>
      </c>
      <c r="E102" s="2">
        <v>2019</v>
      </c>
      <c r="I102"/>
      <c r="J102" s="5"/>
    </row>
    <row r="103" spans="1:10">
      <c r="A103" s="2">
        <v>25000</v>
      </c>
      <c r="B103" s="2">
        <v>2020</v>
      </c>
      <c r="C103" s="2" t="s">
        <v>5</v>
      </c>
      <c r="D103" s="2" t="s">
        <v>10</v>
      </c>
      <c r="E103" s="2">
        <v>2019</v>
      </c>
      <c r="I103"/>
      <c r="J103" s="5"/>
    </row>
    <row r="104" spans="1:10">
      <c r="A104" s="2">
        <v>26100</v>
      </c>
      <c r="B104" s="2">
        <v>2020</v>
      </c>
      <c r="C104" s="2" t="s">
        <v>5</v>
      </c>
      <c r="D104" s="2" t="s">
        <v>12</v>
      </c>
      <c r="E104" s="2">
        <v>2019</v>
      </c>
      <c r="I104"/>
      <c r="J104" s="5"/>
    </row>
    <row r="105" spans="1:10">
      <c r="A105" s="2">
        <v>25100</v>
      </c>
      <c r="B105" s="2">
        <v>2020</v>
      </c>
      <c r="C105" s="2" t="s">
        <v>5</v>
      </c>
      <c r="D105" s="2" t="s">
        <v>10</v>
      </c>
      <c r="E105" s="2">
        <v>2019</v>
      </c>
      <c r="I105"/>
      <c r="J105" s="5"/>
    </row>
    <row r="106" spans="1:10">
      <c r="A106" s="2">
        <v>30100</v>
      </c>
      <c r="B106" s="2">
        <v>2020</v>
      </c>
      <c r="C106" s="2" t="s">
        <v>5</v>
      </c>
      <c r="D106" s="2" t="s">
        <v>6</v>
      </c>
      <c r="E106" s="2">
        <v>2019</v>
      </c>
      <c r="I106"/>
      <c r="J106" s="5"/>
    </row>
    <row r="107" spans="1:10">
      <c r="A107" s="2">
        <v>25000</v>
      </c>
      <c r="B107" s="2">
        <v>2020</v>
      </c>
      <c r="C107" s="2" t="s">
        <v>5</v>
      </c>
      <c r="D107" s="2" t="s">
        <v>8</v>
      </c>
      <c r="E107" s="2">
        <v>2019</v>
      </c>
      <c r="I107"/>
      <c r="J107" s="5"/>
    </row>
    <row r="108" spans="1:10">
      <c r="A108" s="2">
        <v>25600</v>
      </c>
      <c r="B108" s="2">
        <v>2020</v>
      </c>
      <c r="C108" s="2" t="s">
        <v>5</v>
      </c>
      <c r="D108" s="2" t="s">
        <v>8</v>
      </c>
      <c r="E108" s="2">
        <v>2019</v>
      </c>
      <c r="I108"/>
      <c r="J108" s="5"/>
    </row>
    <row r="109" spans="1:10">
      <c r="A109" s="2">
        <v>19500</v>
      </c>
      <c r="B109" s="2">
        <v>2020</v>
      </c>
      <c r="C109" s="2" t="s">
        <v>5</v>
      </c>
      <c r="D109" s="2" t="s">
        <v>8</v>
      </c>
      <c r="E109" s="2">
        <v>2020</v>
      </c>
      <c r="I109"/>
      <c r="J109" s="5"/>
    </row>
    <row r="110" spans="1:10">
      <c r="A110" s="2">
        <v>51000</v>
      </c>
      <c r="B110" s="2">
        <v>2020</v>
      </c>
      <c r="C110" s="2" t="s">
        <v>5</v>
      </c>
      <c r="D110" s="2" t="s">
        <v>19</v>
      </c>
      <c r="E110" s="2">
        <v>2020</v>
      </c>
      <c r="I110"/>
      <c r="J110" s="5"/>
    </row>
    <row r="111" spans="1:10">
      <c r="A111" s="2">
        <v>36000</v>
      </c>
      <c r="B111" s="2">
        <v>2020</v>
      </c>
      <c r="C111" s="2" t="s">
        <v>5</v>
      </c>
      <c r="D111" s="2" t="s">
        <v>6</v>
      </c>
      <c r="E111" s="2">
        <v>2020</v>
      </c>
      <c r="I111"/>
      <c r="J111" s="5"/>
    </row>
    <row r="112" spans="1:10">
      <c r="A112" s="2">
        <v>42100</v>
      </c>
      <c r="B112" s="2">
        <v>2020</v>
      </c>
      <c r="C112" s="2" t="s">
        <v>5</v>
      </c>
      <c r="D112" s="2" t="s">
        <v>19</v>
      </c>
      <c r="E112" s="2">
        <v>2020</v>
      </c>
      <c r="I112"/>
      <c r="J112" s="5"/>
    </row>
    <row r="113" spans="1:10">
      <c r="A113" s="2">
        <v>50000</v>
      </c>
      <c r="B113" s="2">
        <v>2020</v>
      </c>
      <c r="C113" s="2" t="s">
        <v>5</v>
      </c>
      <c r="D113" s="2" t="s">
        <v>19</v>
      </c>
      <c r="E113" s="2">
        <v>2020</v>
      </c>
      <c r="I113"/>
      <c r="J113" s="5"/>
    </row>
    <row r="114" spans="1:10">
      <c r="A114" s="2">
        <v>42300</v>
      </c>
      <c r="B114" s="2">
        <v>2020</v>
      </c>
      <c r="C114" s="2" t="s">
        <v>5</v>
      </c>
      <c r="D114" s="2" t="s">
        <v>6</v>
      </c>
      <c r="E114" s="2">
        <v>2020</v>
      </c>
      <c r="I114"/>
      <c r="J114" s="5"/>
    </row>
    <row r="115" spans="1:10">
      <c r="A115" s="2">
        <v>42100</v>
      </c>
      <c r="B115" s="2">
        <v>2020</v>
      </c>
      <c r="C115" s="2" t="s">
        <v>5</v>
      </c>
      <c r="D115" s="2" t="s">
        <v>19</v>
      </c>
      <c r="E115" s="2">
        <v>2020</v>
      </c>
      <c r="I115"/>
      <c r="J115" s="5"/>
    </row>
    <row r="116" spans="1:10">
      <c r="A116" s="2">
        <v>40300</v>
      </c>
      <c r="B116" s="2">
        <v>2020</v>
      </c>
      <c r="C116" s="2" t="s">
        <v>5</v>
      </c>
      <c r="D116" s="2" t="s">
        <v>19</v>
      </c>
      <c r="E116" s="2">
        <v>2020</v>
      </c>
      <c r="I116"/>
      <c r="J116" s="5"/>
    </row>
    <row r="117" spans="1:10">
      <c r="A117" s="2">
        <v>47900</v>
      </c>
      <c r="B117" s="2">
        <v>2020</v>
      </c>
      <c r="C117" s="2" t="s">
        <v>5</v>
      </c>
      <c r="D117" s="2" t="s">
        <v>7</v>
      </c>
      <c r="E117" s="2">
        <v>2020</v>
      </c>
      <c r="I117"/>
      <c r="J117" s="5"/>
    </row>
    <row r="118" spans="1:10">
      <c r="A118" s="2">
        <v>23600</v>
      </c>
      <c r="B118" s="2">
        <v>2020</v>
      </c>
      <c r="C118" s="2" t="s">
        <v>5</v>
      </c>
      <c r="D118" s="2" t="s">
        <v>16</v>
      </c>
      <c r="E118" s="2">
        <v>2020</v>
      </c>
      <c r="I118"/>
      <c r="J118" s="5"/>
    </row>
    <row r="119" spans="1:10">
      <c r="A119" s="2">
        <v>49700</v>
      </c>
      <c r="B119" s="2">
        <v>2020</v>
      </c>
      <c r="C119" s="2" t="s">
        <v>5</v>
      </c>
      <c r="D119" s="2" t="s">
        <v>20</v>
      </c>
      <c r="E119" s="2">
        <v>2020</v>
      </c>
      <c r="I119"/>
      <c r="J119" s="5"/>
    </row>
    <row r="120" spans="1:10">
      <c r="A120" s="2">
        <v>23600</v>
      </c>
      <c r="B120" s="2">
        <v>2020</v>
      </c>
      <c r="C120" s="2" t="s">
        <v>5</v>
      </c>
      <c r="D120" s="2" t="s">
        <v>16</v>
      </c>
      <c r="E120" s="2">
        <v>2020</v>
      </c>
      <c r="I120"/>
      <c r="J120" s="5"/>
    </row>
    <row r="121" spans="1:10">
      <c r="A121" s="2">
        <v>50000</v>
      </c>
      <c r="B121" s="2">
        <v>2020</v>
      </c>
      <c r="C121" s="2" t="s">
        <v>5</v>
      </c>
      <c r="D121" s="2" t="s">
        <v>19</v>
      </c>
      <c r="E121" s="2">
        <v>2020</v>
      </c>
      <c r="I121"/>
      <c r="J121" s="5"/>
    </row>
    <row r="122" spans="1:10">
      <c r="A122" s="2">
        <v>49100</v>
      </c>
      <c r="B122" s="2">
        <v>2020</v>
      </c>
      <c r="C122" s="2" t="s">
        <v>5</v>
      </c>
      <c r="D122" s="2" t="s">
        <v>19</v>
      </c>
      <c r="E122" s="2">
        <v>2020</v>
      </c>
      <c r="I122"/>
      <c r="J122" s="5"/>
    </row>
    <row r="123" spans="1:10">
      <c r="A123" s="2">
        <v>51990</v>
      </c>
      <c r="B123" s="2">
        <v>2020</v>
      </c>
      <c r="C123" s="2" t="s">
        <v>5</v>
      </c>
      <c r="D123" s="2" t="s">
        <v>13</v>
      </c>
      <c r="E123" s="2">
        <v>2020</v>
      </c>
      <c r="I123"/>
      <c r="J123" s="5"/>
    </row>
    <row r="124" spans="1:10">
      <c r="A124" s="2">
        <v>32300</v>
      </c>
      <c r="B124" s="2">
        <v>2020</v>
      </c>
      <c r="C124" s="2" t="s">
        <v>5</v>
      </c>
      <c r="D124" s="2" t="s">
        <v>9</v>
      </c>
      <c r="E124" s="2">
        <v>2020</v>
      </c>
      <c r="I124"/>
      <c r="J124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"/>
  <sheetViews>
    <sheetView workbookViewId="0">
      <selection activeCell="F1" sqref="F1:J20"/>
    </sheetView>
  </sheetViews>
  <sheetFormatPr defaultRowHeight="15"/>
  <cols>
    <col min="1" max="1" width="12.28515625" style="4" customWidth="1"/>
    <col min="2" max="2" width="15.7109375" style="4" customWidth="1"/>
    <col min="6" max="6" width="19.42578125" customWidth="1"/>
    <col min="11" max="11" width="11.28515625" bestFit="1" customWidth="1"/>
  </cols>
  <sheetData>
    <row r="1" spans="1:11">
      <c r="A1" s="3" t="s">
        <v>3</v>
      </c>
      <c r="B1" s="3" t="s">
        <v>4</v>
      </c>
      <c r="F1" s="16" t="s">
        <v>24</v>
      </c>
      <c r="G1" s="16" t="s">
        <v>25</v>
      </c>
      <c r="H1" s="17"/>
      <c r="I1" s="17"/>
      <c r="J1" s="17"/>
      <c r="K1" s="18"/>
    </row>
    <row r="2" spans="1:11">
      <c r="A2" s="4" t="s">
        <v>6</v>
      </c>
      <c r="B2" s="4">
        <v>2018</v>
      </c>
      <c r="F2" s="16" t="s">
        <v>21</v>
      </c>
      <c r="G2" s="17">
        <v>2018</v>
      </c>
      <c r="H2" s="17">
        <v>2019</v>
      </c>
      <c r="I2" s="17">
        <v>2020</v>
      </c>
      <c r="J2" s="17" t="s">
        <v>22</v>
      </c>
      <c r="K2" s="18" t="s">
        <v>23</v>
      </c>
    </row>
    <row r="3" spans="1:11">
      <c r="A3" s="4" t="s">
        <v>7</v>
      </c>
      <c r="B3" s="4">
        <v>2018</v>
      </c>
      <c r="F3" s="9">
        <v>86</v>
      </c>
      <c r="G3" s="10">
        <v>1</v>
      </c>
      <c r="H3" s="10">
        <v>1</v>
      </c>
      <c r="I3" s="10"/>
      <c r="J3" s="10"/>
      <c r="K3" s="11">
        <v>2</v>
      </c>
    </row>
    <row r="4" spans="1:11">
      <c r="A4" s="4" t="s">
        <v>8</v>
      </c>
      <c r="B4" s="4">
        <v>2018</v>
      </c>
      <c r="F4" s="9" t="s">
        <v>13</v>
      </c>
      <c r="G4" s="10">
        <v>7</v>
      </c>
      <c r="H4" s="10">
        <v>7</v>
      </c>
      <c r="I4" s="10">
        <v>1</v>
      </c>
      <c r="J4" s="10"/>
      <c r="K4" s="11">
        <v>15</v>
      </c>
    </row>
    <row r="5" spans="1:11">
      <c r="A5" s="4" t="s">
        <v>9</v>
      </c>
      <c r="B5" s="4">
        <v>2018</v>
      </c>
      <c r="F5" s="9" t="s">
        <v>18</v>
      </c>
      <c r="G5" s="10"/>
      <c r="H5" s="10">
        <v>2</v>
      </c>
      <c r="I5" s="10"/>
      <c r="J5" s="10"/>
      <c r="K5" s="11">
        <v>2</v>
      </c>
    </row>
    <row r="6" spans="1:11">
      <c r="A6" s="4" t="s">
        <v>10</v>
      </c>
      <c r="B6" s="4">
        <v>2018</v>
      </c>
      <c r="F6" s="9" t="s">
        <v>8</v>
      </c>
      <c r="G6" s="10">
        <v>10</v>
      </c>
      <c r="H6" s="10">
        <v>12</v>
      </c>
      <c r="I6" s="10">
        <v>1</v>
      </c>
      <c r="J6" s="10"/>
      <c r="K6" s="11">
        <v>23</v>
      </c>
    </row>
    <row r="7" spans="1:11">
      <c r="A7" s="4" t="s">
        <v>11</v>
      </c>
      <c r="B7" s="4">
        <v>2018</v>
      </c>
      <c r="F7" s="9" t="s">
        <v>14</v>
      </c>
      <c r="G7" s="10">
        <v>4</v>
      </c>
      <c r="H7" s="10">
        <v>6</v>
      </c>
      <c r="I7" s="10"/>
      <c r="J7" s="10"/>
      <c r="K7" s="11">
        <v>10</v>
      </c>
    </row>
    <row r="8" spans="1:11">
      <c r="A8" s="4" t="s">
        <v>12</v>
      </c>
      <c r="B8" s="4">
        <v>2018</v>
      </c>
      <c r="F8" s="9" t="s">
        <v>20</v>
      </c>
      <c r="G8" s="10"/>
      <c r="H8" s="10"/>
      <c r="I8" s="10">
        <v>1</v>
      </c>
      <c r="J8" s="10"/>
      <c r="K8" s="11">
        <v>1</v>
      </c>
    </row>
    <row r="9" spans="1:11">
      <c r="A9" s="4" t="s">
        <v>13</v>
      </c>
      <c r="B9" s="4">
        <v>2018</v>
      </c>
      <c r="F9" s="9" t="s">
        <v>11</v>
      </c>
      <c r="G9" s="10">
        <v>7</v>
      </c>
      <c r="H9" s="10">
        <v>2</v>
      </c>
      <c r="I9" s="10"/>
      <c r="J9" s="10"/>
      <c r="K9" s="11">
        <v>9</v>
      </c>
    </row>
    <row r="10" spans="1:11">
      <c r="A10" s="4" t="s">
        <v>14</v>
      </c>
      <c r="B10" s="4">
        <v>2018</v>
      </c>
      <c r="F10" s="9" t="s">
        <v>15</v>
      </c>
      <c r="G10" s="10">
        <v>1</v>
      </c>
      <c r="H10" s="10">
        <v>2</v>
      </c>
      <c r="I10" s="10"/>
      <c r="J10" s="10"/>
      <c r="K10" s="11">
        <v>3</v>
      </c>
    </row>
    <row r="11" spans="1:11">
      <c r="A11" s="4" t="s">
        <v>15</v>
      </c>
      <c r="B11" s="4">
        <v>2018</v>
      </c>
      <c r="F11" s="9" t="s">
        <v>16</v>
      </c>
      <c r="G11" s="10">
        <v>2</v>
      </c>
      <c r="H11" s="10"/>
      <c r="I11" s="10">
        <v>2</v>
      </c>
      <c r="J11" s="10"/>
      <c r="K11" s="11">
        <v>4</v>
      </c>
    </row>
    <row r="12" spans="1:11">
      <c r="A12" s="4" t="s">
        <v>16</v>
      </c>
      <c r="B12" s="4">
        <v>2018</v>
      </c>
      <c r="F12" s="9" t="s">
        <v>17</v>
      </c>
      <c r="G12" s="10">
        <v>1</v>
      </c>
      <c r="H12" s="10"/>
      <c r="I12" s="10"/>
      <c r="J12" s="10"/>
      <c r="K12" s="11">
        <v>1</v>
      </c>
    </row>
    <row r="13" spans="1:11">
      <c r="A13" s="4" t="s">
        <v>17</v>
      </c>
      <c r="B13" s="4">
        <v>2018</v>
      </c>
      <c r="F13" s="9" t="s">
        <v>12</v>
      </c>
      <c r="G13" s="10">
        <v>4</v>
      </c>
      <c r="H13" s="10">
        <v>1</v>
      </c>
      <c r="I13" s="10"/>
      <c r="J13" s="10"/>
      <c r="K13" s="11">
        <v>5</v>
      </c>
    </row>
    <row r="14" spans="1:11">
      <c r="A14" s="4">
        <v>86</v>
      </c>
      <c r="B14" s="4">
        <v>2018</v>
      </c>
      <c r="F14" s="9" t="s">
        <v>9</v>
      </c>
      <c r="G14" s="10">
        <v>1</v>
      </c>
      <c r="H14" s="10">
        <v>2</v>
      </c>
      <c r="I14" s="10">
        <v>1</v>
      </c>
      <c r="J14" s="10"/>
      <c r="K14" s="11">
        <v>4</v>
      </c>
    </row>
    <row r="15" spans="1:11">
      <c r="A15" s="4" t="s">
        <v>6</v>
      </c>
      <c r="B15" s="4">
        <v>2019</v>
      </c>
      <c r="F15" s="9" t="s">
        <v>10</v>
      </c>
      <c r="G15" s="10">
        <v>3</v>
      </c>
      <c r="H15" s="10">
        <v>3</v>
      </c>
      <c r="I15" s="10"/>
      <c r="J15" s="10"/>
      <c r="K15" s="11">
        <v>6</v>
      </c>
    </row>
    <row r="16" spans="1:11">
      <c r="A16" s="4" t="s">
        <v>10</v>
      </c>
      <c r="B16" s="4">
        <v>2019</v>
      </c>
      <c r="F16" s="9" t="s">
        <v>19</v>
      </c>
      <c r="G16" s="10"/>
      <c r="H16" s="10"/>
      <c r="I16" s="10">
        <v>7</v>
      </c>
      <c r="J16" s="10"/>
      <c r="K16" s="11">
        <v>7</v>
      </c>
    </row>
    <row r="17" spans="1:11">
      <c r="A17" s="4" t="s">
        <v>9</v>
      </c>
      <c r="B17" s="4">
        <v>2019</v>
      </c>
      <c r="F17" s="9" t="s">
        <v>6</v>
      </c>
      <c r="G17" s="10">
        <v>5</v>
      </c>
      <c r="H17" s="10">
        <v>14</v>
      </c>
      <c r="I17" s="10">
        <v>2</v>
      </c>
      <c r="J17" s="10"/>
      <c r="K17" s="11">
        <v>21</v>
      </c>
    </row>
    <row r="18" spans="1:11">
      <c r="A18" s="4" t="s">
        <v>13</v>
      </c>
      <c r="B18" s="4">
        <v>2019</v>
      </c>
      <c r="F18" s="9" t="s">
        <v>7</v>
      </c>
      <c r="G18" s="10">
        <v>6</v>
      </c>
      <c r="H18" s="10">
        <v>3</v>
      </c>
      <c r="I18" s="10">
        <v>1</v>
      </c>
      <c r="J18" s="10"/>
      <c r="K18" s="11">
        <v>10</v>
      </c>
    </row>
    <row r="19" spans="1:11">
      <c r="A19" s="4" t="s">
        <v>11</v>
      </c>
      <c r="B19" s="4">
        <v>2019</v>
      </c>
      <c r="F19" s="9" t="s">
        <v>22</v>
      </c>
      <c r="G19" s="10"/>
      <c r="H19" s="10"/>
      <c r="I19" s="10"/>
      <c r="J19" s="10"/>
      <c r="K19" s="11"/>
    </row>
    <row r="20" spans="1:11">
      <c r="A20" s="4" t="s">
        <v>7</v>
      </c>
      <c r="B20" s="4">
        <v>2019</v>
      </c>
      <c r="F20" s="12" t="s">
        <v>23</v>
      </c>
      <c r="G20" s="13">
        <v>52</v>
      </c>
      <c r="H20" s="13">
        <v>55</v>
      </c>
      <c r="I20" s="13">
        <v>16</v>
      </c>
      <c r="J20" s="13"/>
      <c r="K20" s="13">
        <v>123</v>
      </c>
    </row>
    <row r="21" spans="1:11">
      <c r="A21" s="4" t="s">
        <v>8</v>
      </c>
      <c r="B21" s="4">
        <v>2019</v>
      </c>
    </row>
    <row r="22" spans="1:11">
      <c r="A22" s="4" t="s">
        <v>14</v>
      </c>
      <c r="B22" s="4">
        <v>2019</v>
      </c>
    </row>
    <row r="23" spans="1:11">
      <c r="A23" s="4" t="s">
        <v>15</v>
      </c>
      <c r="B23" s="4">
        <v>2019</v>
      </c>
    </row>
    <row r="24" spans="1:11">
      <c r="A24" s="4">
        <v>86</v>
      </c>
      <c r="B24" s="4">
        <v>2019</v>
      </c>
    </row>
    <row r="25" spans="1:11">
      <c r="A25" s="4" t="s">
        <v>18</v>
      </c>
      <c r="B25" s="4">
        <v>2019</v>
      </c>
    </row>
    <row r="26" spans="1:11">
      <c r="A26" s="4" t="s">
        <v>12</v>
      </c>
      <c r="B26" s="4">
        <v>2019</v>
      </c>
    </row>
    <row r="27" spans="1:11">
      <c r="A27" s="4" t="s">
        <v>8</v>
      </c>
      <c r="B27" s="4">
        <v>2020</v>
      </c>
    </row>
    <row r="28" spans="1:11">
      <c r="A28" s="4" t="s">
        <v>19</v>
      </c>
      <c r="B28" s="4">
        <v>2020</v>
      </c>
    </row>
    <row r="29" spans="1:11">
      <c r="A29" s="4" t="s">
        <v>6</v>
      </c>
      <c r="B29" s="4">
        <v>2020</v>
      </c>
    </row>
    <row r="30" spans="1:11">
      <c r="A30" s="4" t="s">
        <v>7</v>
      </c>
      <c r="B30" s="4">
        <v>2020</v>
      </c>
    </row>
    <row r="31" spans="1:11">
      <c r="A31" s="4" t="s">
        <v>16</v>
      </c>
      <c r="B31" s="4">
        <v>2020</v>
      </c>
    </row>
    <row r="32" spans="1:11">
      <c r="A32" s="4" t="s">
        <v>20</v>
      </c>
      <c r="B32" s="4">
        <v>2020</v>
      </c>
    </row>
    <row r="33" spans="1:2">
      <c r="A33" s="4" t="s">
        <v>13</v>
      </c>
      <c r="B33" s="4">
        <v>2020</v>
      </c>
    </row>
    <row r="34" spans="1:2">
      <c r="A34" s="4" t="s">
        <v>9</v>
      </c>
      <c r="B34" s="4">
        <v>2020</v>
      </c>
    </row>
    <row r="35" spans="1:2">
      <c r="A35" s="5"/>
      <c r="B35" s="5"/>
    </row>
    <row r="36" spans="1:2">
      <c r="A36" s="5"/>
      <c r="B36" s="5"/>
    </row>
    <row r="37" spans="1:2">
      <c r="A37" s="5"/>
      <c r="B37" s="5"/>
    </row>
    <row r="38" spans="1:2">
      <c r="A38" s="5"/>
      <c r="B38" s="5"/>
    </row>
    <row r="39" spans="1:2">
      <c r="A39" s="5"/>
      <c r="B39" s="5"/>
    </row>
    <row r="40" spans="1:2">
      <c r="A40" s="5"/>
      <c r="B40" s="5"/>
    </row>
    <row r="41" spans="1:2">
      <c r="A41" s="5"/>
      <c r="B41" s="5"/>
    </row>
    <row r="42" spans="1:2">
      <c r="A42" s="5"/>
      <c r="B42" s="5"/>
    </row>
    <row r="43" spans="1:2">
      <c r="A43" s="5"/>
      <c r="B43" s="5"/>
    </row>
    <row r="44" spans="1:2">
      <c r="A44" s="5"/>
      <c r="B44" s="5"/>
    </row>
    <row r="45" spans="1:2">
      <c r="A45" s="5"/>
      <c r="B45" s="5"/>
    </row>
    <row r="46" spans="1:2">
      <c r="A46" s="5"/>
      <c r="B46" s="5"/>
    </row>
    <row r="47" spans="1:2">
      <c r="A47" s="5"/>
      <c r="B47" s="5"/>
    </row>
    <row r="48" spans="1:2">
      <c r="A48" s="5"/>
      <c r="B48" s="5"/>
    </row>
    <row r="49" spans="1:2">
      <c r="A49" s="5"/>
      <c r="B49" s="5"/>
    </row>
    <row r="50" spans="1:2">
      <c r="A50" s="5"/>
      <c r="B50" s="5"/>
    </row>
    <row r="51" spans="1:2">
      <c r="A51" s="5"/>
      <c r="B51" s="5"/>
    </row>
    <row r="52" spans="1:2">
      <c r="A52" s="5"/>
      <c r="B52" s="5"/>
    </row>
    <row r="53" spans="1:2">
      <c r="A53" s="5"/>
      <c r="B53" s="5"/>
    </row>
    <row r="54" spans="1:2">
      <c r="A54" s="5"/>
      <c r="B54" s="5"/>
    </row>
    <row r="55" spans="1:2">
      <c r="A55" s="5"/>
      <c r="B55" s="5"/>
    </row>
    <row r="56" spans="1:2">
      <c r="A56" s="5"/>
      <c r="B56" s="5"/>
    </row>
    <row r="57" spans="1:2">
      <c r="A57" s="5"/>
      <c r="B57" s="5"/>
    </row>
    <row r="58" spans="1:2">
      <c r="A58" s="5"/>
      <c r="B58" s="5"/>
    </row>
    <row r="59" spans="1:2">
      <c r="A59" s="5"/>
      <c r="B59" s="5"/>
    </row>
    <row r="60" spans="1:2">
      <c r="A60" s="5"/>
      <c r="B60" s="5"/>
    </row>
    <row r="61" spans="1:2">
      <c r="A61" s="5"/>
      <c r="B61" s="5"/>
    </row>
    <row r="62" spans="1:2">
      <c r="A62" s="5"/>
      <c r="B62" s="5"/>
    </row>
    <row r="63" spans="1:2">
      <c r="A63" s="5"/>
      <c r="B63" s="5"/>
    </row>
    <row r="64" spans="1:2">
      <c r="A64" s="5"/>
      <c r="B64" s="5"/>
    </row>
    <row r="65" spans="1:2">
      <c r="A65" s="5"/>
      <c r="B65" s="5"/>
    </row>
    <row r="66" spans="1:2">
      <c r="A66" s="5"/>
      <c r="B66" s="5"/>
    </row>
    <row r="67" spans="1:2">
      <c r="A67" s="5"/>
      <c r="B67" s="5"/>
    </row>
    <row r="68" spans="1:2">
      <c r="A68" s="5"/>
      <c r="B68" s="5"/>
    </row>
    <row r="69" spans="1:2">
      <c r="A69" s="5"/>
      <c r="B69" s="5"/>
    </row>
    <row r="70" spans="1:2">
      <c r="A70" s="5"/>
      <c r="B70" s="5"/>
    </row>
    <row r="71" spans="1:2">
      <c r="A71" s="5"/>
      <c r="B71" s="5"/>
    </row>
    <row r="72" spans="1:2">
      <c r="A72" s="5"/>
      <c r="B72" s="5"/>
    </row>
    <row r="73" spans="1:2">
      <c r="A73" s="5"/>
      <c r="B73" s="5"/>
    </row>
    <row r="74" spans="1:2">
      <c r="A74" s="5"/>
      <c r="B74" s="5"/>
    </row>
    <row r="75" spans="1:2">
      <c r="A75" s="5"/>
      <c r="B75" s="5"/>
    </row>
    <row r="76" spans="1:2">
      <c r="A76" s="5"/>
      <c r="B76" s="5"/>
    </row>
    <row r="77" spans="1:2">
      <c r="A77" s="5"/>
      <c r="B77" s="5"/>
    </row>
    <row r="78" spans="1:2">
      <c r="A78" s="5"/>
      <c r="B78" s="5"/>
    </row>
    <row r="79" spans="1:2">
      <c r="A79" s="5"/>
      <c r="B79" s="5"/>
    </row>
    <row r="80" spans="1:2">
      <c r="A80" s="5"/>
      <c r="B80" s="5"/>
    </row>
    <row r="81" spans="1:2">
      <c r="A81" s="5"/>
      <c r="B81" s="5"/>
    </row>
    <row r="82" spans="1:2">
      <c r="A82" s="5"/>
      <c r="B82" s="5"/>
    </row>
    <row r="83" spans="1:2">
      <c r="A83" s="5"/>
      <c r="B83" s="5"/>
    </row>
    <row r="84" spans="1:2">
      <c r="A84" s="5"/>
      <c r="B84" s="5"/>
    </row>
    <row r="85" spans="1:2">
      <c r="A85" s="5"/>
      <c r="B85" s="5"/>
    </row>
    <row r="86" spans="1:2">
      <c r="A86" s="5"/>
      <c r="B86" s="5"/>
    </row>
    <row r="87" spans="1:2">
      <c r="A87" s="5"/>
      <c r="B87" s="5"/>
    </row>
    <row r="88" spans="1:2">
      <c r="A88" s="5"/>
      <c r="B88" s="5"/>
    </row>
    <row r="89" spans="1:2">
      <c r="A89" s="5"/>
      <c r="B89" s="5"/>
    </row>
    <row r="90" spans="1:2">
      <c r="A90" s="5"/>
      <c r="B90" s="5"/>
    </row>
    <row r="91" spans="1:2">
      <c r="A91" s="5"/>
      <c r="B91" s="5"/>
    </row>
    <row r="92" spans="1:2">
      <c r="A92" s="5"/>
      <c r="B92" s="5"/>
    </row>
    <row r="93" spans="1:2">
      <c r="A93" s="5"/>
      <c r="B93" s="5"/>
    </row>
    <row r="94" spans="1:2">
      <c r="A94" s="5"/>
      <c r="B94" s="5"/>
    </row>
    <row r="95" spans="1:2">
      <c r="A95" s="5"/>
      <c r="B95" s="5"/>
    </row>
    <row r="96" spans="1:2">
      <c r="A96" s="5"/>
      <c r="B96" s="5"/>
    </row>
    <row r="97" spans="1:2">
      <c r="A97" s="5"/>
      <c r="B97" s="5"/>
    </row>
    <row r="98" spans="1:2">
      <c r="A98" s="5"/>
      <c r="B98" s="5"/>
    </row>
    <row r="99" spans="1:2">
      <c r="A99" s="5"/>
      <c r="B99" s="5"/>
    </row>
    <row r="100" spans="1:2">
      <c r="A100" s="5"/>
      <c r="B100" s="5"/>
    </row>
    <row r="101" spans="1:2">
      <c r="A101" s="5"/>
      <c r="B101" s="5"/>
    </row>
    <row r="102" spans="1:2">
      <c r="A102" s="5"/>
      <c r="B102" s="5"/>
    </row>
    <row r="103" spans="1:2">
      <c r="A103" s="5"/>
      <c r="B103" s="5"/>
    </row>
    <row r="104" spans="1:2">
      <c r="A104" s="5"/>
      <c r="B104" s="5"/>
    </row>
    <row r="105" spans="1:2">
      <c r="A105" s="5"/>
      <c r="B105" s="5"/>
    </row>
    <row r="106" spans="1:2">
      <c r="A106" s="5"/>
      <c r="B106" s="5"/>
    </row>
    <row r="107" spans="1:2">
      <c r="A107" s="5"/>
      <c r="B107" s="5"/>
    </row>
    <row r="108" spans="1:2">
      <c r="A108" s="5"/>
      <c r="B108" s="5"/>
    </row>
    <row r="109" spans="1:2">
      <c r="A109" s="5"/>
      <c r="B109" s="5"/>
    </row>
    <row r="110" spans="1:2">
      <c r="A110" s="5"/>
      <c r="B110" s="5"/>
    </row>
    <row r="111" spans="1:2">
      <c r="A111" s="5"/>
      <c r="B111" s="5"/>
    </row>
    <row r="112" spans="1:2">
      <c r="A112" s="5"/>
      <c r="B112" s="5"/>
    </row>
    <row r="113" spans="1:2">
      <c r="A113" s="5"/>
      <c r="B113" s="5"/>
    </row>
    <row r="114" spans="1:2">
      <c r="A114" s="5"/>
      <c r="B114" s="5"/>
    </row>
    <row r="115" spans="1:2">
      <c r="A115" s="5"/>
      <c r="B115" s="5"/>
    </row>
    <row r="116" spans="1:2">
      <c r="A116" s="5"/>
      <c r="B116" s="5"/>
    </row>
    <row r="117" spans="1:2">
      <c r="A117" s="5"/>
      <c r="B117" s="5"/>
    </row>
    <row r="118" spans="1:2">
      <c r="A118" s="5"/>
      <c r="B118" s="5"/>
    </row>
    <row r="119" spans="1:2">
      <c r="A119" s="5"/>
      <c r="B119" s="5"/>
    </row>
    <row r="120" spans="1:2">
      <c r="A120" s="5"/>
      <c r="B120" s="5"/>
    </row>
    <row r="121" spans="1:2">
      <c r="A121" s="5"/>
      <c r="B121" s="5"/>
    </row>
    <row r="122" spans="1:2">
      <c r="A122" s="5"/>
      <c r="B122" s="5"/>
    </row>
    <row r="123" spans="1:2">
      <c r="A123" s="5"/>
      <c r="B123" s="5"/>
    </row>
    <row r="124" spans="1:2">
      <c r="A124" s="5"/>
      <c r="B12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4"/>
  <sheetViews>
    <sheetView workbookViewId="0">
      <selection activeCell="L9" sqref="L9"/>
    </sheetView>
  </sheetViews>
  <sheetFormatPr defaultRowHeight="15"/>
  <cols>
    <col min="1" max="2" width="9.140625" style="2"/>
    <col min="4" max="4" width="9.42578125" style="2" customWidth="1"/>
    <col min="5" max="5" width="9.140625" style="2"/>
  </cols>
  <sheetData>
    <row r="1" spans="1:10">
      <c r="A1" s="1" t="s">
        <v>3</v>
      </c>
      <c r="B1" s="1" t="s">
        <v>4</v>
      </c>
      <c r="D1" s="1" t="s">
        <v>3</v>
      </c>
      <c r="E1" s="1" t="s">
        <v>4</v>
      </c>
    </row>
    <row r="2" spans="1:10">
      <c r="A2" s="2" t="s">
        <v>6</v>
      </c>
      <c r="B2" s="2">
        <v>2018</v>
      </c>
      <c r="D2" s="2" t="s">
        <v>6</v>
      </c>
      <c r="E2" s="2">
        <v>2018</v>
      </c>
      <c r="G2">
        <f ca="1" xml:space="preserve"> COUNTIFS($D$2:$D$118, G2, $E$2:$E$118,#REF!)</f>
        <v>0</v>
      </c>
      <c r="J2" s="20">
        <f ca="1">SUMPRODUCT(--($D$2:$D$120=G2),--($E$2:$E$120=H2))</f>
        <v>0</v>
      </c>
    </row>
    <row r="3" spans="1:10">
      <c r="A3" s="2" t="s">
        <v>7</v>
      </c>
      <c r="B3" s="2">
        <v>2018</v>
      </c>
      <c r="D3" s="2" t="s">
        <v>7</v>
      </c>
      <c r="E3" s="2">
        <v>2018</v>
      </c>
    </row>
    <row r="4" spans="1:10">
      <c r="A4" s="2" t="s">
        <v>8</v>
      </c>
      <c r="B4" s="2">
        <v>2018</v>
      </c>
      <c r="D4" s="2" t="s">
        <v>8</v>
      </c>
      <c r="E4" s="2">
        <v>2018</v>
      </c>
    </row>
    <row r="5" spans="1:10">
      <c r="A5" s="2" t="s">
        <v>7</v>
      </c>
      <c r="B5" s="2">
        <v>2018</v>
      </c>
      <c r="D5" s="2" t="s">
        <v>7</v>
      </c>
      <c r="E5" s="2">
        <v>2018</v>
      </c>
      <c r="G5">
        <f ca="1">COUNTIFS($A2:$A124,TRIM(G5),$B2:$B124,TRIM(H5))</f>
        <v>0</v>
      </c>
      <c r="H5">
        <f ca="1">COUNTIFS($A2:$A124, H5, $B2:$B124, I5)</f>
        <v>0</v>
      </c>
    </row>
    <row r="6" spans="1:10">
      <c r="A6" s="2" t="s">
        <v>7</v>
      </c>
      <c r="B6" s="2">
        <v>2018</v>
      </c>
      <c r="D6" s="2" t="s">
        <v>7</v>
      </c>
      <c r="E6" s="2">
        <v>2018</v>
      </c>
    </row>
    <row r="7" spans="1:10">
      <c r="A7" s="2" t="s">
        <v>7</v>
      </c>
      <c r="B7" s="2">
        <v>2018</v>
      </c>
      <c r="D7" s="2" t="s">
        <v>7</v>
      </c>
      <c r="E7" s="2">
        <v>2018</v>
      </c>
    </row>
    <row r="8" spans="1:10">
      <c r="A8" s="2" t="s">
        <v>9</v>
      </c>
      <c r="B8" s="2">
        <v>2018</v>
      </c>
      <c r="D8" s="2" t="s">
        <v>9</v>
      </c>
      <c r="E8" s="2">
        <v>2018</v>
      </c>
    </row>
    <row r="9" spans="1:10">
      <c r="A9" s="2" t="s">
        <v>10</v>
      </c>
      <c r="B9" s="2">
        <v>2018</v>
      </c>
      <c r="D9" s="2" t="s">
        <v>10</v>
      </c>
      <c r="E9" s="2">
        <v>2018</v>
      </c>
    </row>
    <row r="10" spans="1:10">
      <c r="A10" s="2" t="s">
        <v>11</v>
      </c>
      <c r="B10" s="2">
        <v>2018</v>
      </c>
      <c r="D10" s="2" t="s">
        <v>11</v>
      </c>
      <c r="E10" s="2">
        <v>2018</v>
      </c>
    </row>
    <row r="11" spans="1:10">
      <c r="A11" s="2" t="s">
        <v>12</v>
      </c>
      <c r="B11" s="2">
        <v>2018</v>
      </c>
      <c r="D11" s="2" t="s">
        <v>12</v>
      </c>
      <c r="E11" s="2">
        <v>2018</v>
      </c>
    </row>
    <row r="12" spans="1:10">
      <c r="A12" s="2" t="s">
        <v>11</v>
      </c>
      <c r="B12" s="2">
        <v>2018</v>
      </c>
      <c r="D12" s="2" t="s">
        <v>11</v>
      </c>
      <c r="E12" s="2">
        <v>2018</v>
      </c>
    </row>
    <row r="13" spans="1:10">
      <c r="A13" s="2" t="s">
        <v>13</v>
      </c>
      <c r="B13" s="2">
        <v>2018</v>
      </c>
      <c r="D13" s="2" t="s">
        <v>13</v>
      </c>
      <c r="E13" s="2">
        <v>2018</v>
      </c>
    </row>
    <row r="14" spans="1:10">
      <c r="A14" s="2" t="s">
        <v>13</v>
      </c>
      <c r="B14" s="2">
        <v>2018</v>
      </c>
      <c r="D14" s="2" t="s">
        <v>13</v>
      </c>
      <c r="E14" s="2">
        <v>2018</v>
      </c>
    </row>
    <row r="15" spans="1:10">
      <c r="A15" s="2" t="s">
        <v>6</v>
      </c>
      <c r="B15" s="2">
        <v>2018</v>
      </c>
      <c r="D15" s="2" t="s">
        <v>6</v>
      </c>
      <c r="E15" s="2">
        <v>2018</v>
      </c>
    </row>
    <row r="16" spans="1:10">
      <c r="A16" s="2" t="s">
        <v>10</v>
      </c>
      <c r="B16" s="2">
        <v>2018</v>
      </c>
      <c r="D16" s="2" t="s">
        <v>10</v>
      </c>
      <c r="E16" s="2">
        <v>2018</v>
      </c>
    </row>
    <row r="17" spans="1:5">
      <c r="A17" s="2" t="s">
        <v>14</v>
      </c>
      <c r="B17" s="2">
        <v>2018</v>
      </c>
      <c r="D17" s="2" t="s">
        <v>14</v>
      </c>
      <c r="E17" s="2">
        <v>2018</v>
      </c>
    </row>
    <row r="18" spans="1:5">
      <c r="A18" s="2" t="s">
        <v>12</v>
      </c>
      <c r="B18" s="2">
        <v>2018</v>
      </c>
      <c r="D18" s="2" t="s">
        <v>12</v>
      </c>
      <c r="E18" s="2">
        <v>2018</v>
      </c>
    </row>
    <row r="19" spans="1:5">
      <c r="A19" s="2" t="s">
        <v>11</v>
      </c>
      <c r="B19" s="2">
        <v>2018</v>
      </c>
      <c r="D19" s="2" t="s">
        <v>11</v>
      </c>
      <c r="E19" s="2">
        <v>2018</v>
      </c>
    </row>
    <row r="20" spans="1:5">
      <c r="A20" s="2" t="s">
        <v>11</v>
      </c>
      <c r="B20" s="2">
        <v>2018</v>
      </c>
      <c r="D20" s="2" t="s">
        <v>11</v>
      </c>
      <c r="E20" s="2">
        <v>2018</v>
      </c>
    </row>
    <row r="21" spans="1:5">
      <c r="A21" s="2" t="s">
        <v>11</v>
      </c>
      <c r="B21" s="2">
        <v>2018</v>
      </c>
      <c r="D21" s="2" t="s">
        <v>11</v>
      </c>
      <c r="E21" s="2">
        <v>2018</v>
      </c>
    </row>
    <row r="22" spans="1:5">
      <c r="A22" s="2" t="s">
        <v>14</v>
      </c>
      <c r="B22" s="2">
        <v>2018</v>
      </c>
      <c r="D22" s="2" t="s">
        <v>14</v>
      </c>
      <c r="E22" s="2">
        <v>2018</v>
      </c>
    </row>
    <row r="23" spans="1:5">
      <c r="A23" s="2" t="s">
        <v>13</v>
      </c>
      <c r="B23" s="2">
        <v>2018</v>
      </c>
      <c r="D23" s="2" t="s">
        <v>13</v>
      </c>
      <c r="E23" s="2">
        <v>2018</v>
      </c>
    </row>
    <row r="24" spans="1:5">
      <c r="A24" s="2" t="s">
        <v>8</v>
      </c>
      <c r="B24" s="2">
        <v>2018</v>
      </c>
      <c r="D24" s="2" t="s">
        <v>8</v>
      </c>
      <c r="E24" s="2">
        <v>2018</v>
      </c>
    </row>
    <row r="25" spans="1:5">
      <c r="A25" s="2" t="s">
        <v>14</v>
      </c>
      <c r="B25" s="2">
        <v>2018</v>
      </c>
      <c r="D25" s="2" t="s">
        <v>14</v>
      </c>
      <c r="E25" s="2">
        <v>2018</v>
      </c>
    </row>
    <row r="26" spans="1:5">
      <c r="A26" s="2" t="s">
        <v>15</v>
      </c>
      <c r="B26" s="2">
        <v>2018</v>
      </c>
      <c r="D26" s="2" t="s">
        <v>15</v>
      </c>
      <c r="E26" s="2">
        <v>2018</v>
      </c>
    </row>
    <row r="27" spans="1:5">
      <c r="A27" s="2" t="s">
        <v>13</v>
      </c>
      <c r="B27" s="2">
        <v>2018</v>
      </c>
      <c r="D27" s="2" t="s">
        <v>13</v>
      </c>
      <c r="E27" s="2">
        <v>2018</v>
      </c>
    </row>
    <row r="28" spans="1:5">
      <c r="A28" s="2" t="s">
        <v>13</v>
      </c>
      <c r="B28" s="2">
        <v>2018</v>
      </c>
      <c r="D28" s="2" t="s">
        <v>13</v>
      </c>
      <c r="E28" s="2">
        <v>2018</v>
      </c>
    </row>
    <row r="29" spans="1:5">
      <c r="A29" s="2" t="s">
        <v>8</v>
      </c>
      <c r="B29" s="2">
        <v>2018</v>
      </c>
      <c r="D29" s="2" t="s">
        <v>8</v>
      </c>
      <c r="E29" s="2">
        <v>2018</v>
      </c>
    </row>
    <row r="30" spans="1:5">
      <c r="A30" s="2" t="s">
        <v>8</v>
      </c>
      <c r="B30" s="2">
        <v>2018</v>
      </c>
      <c r="D30" s="2" t="s">
        <v>8</v>
      </c>
      <c r="E30" s="2">
        <v>2018</v>
      </c>
    </row>
    <row r="31" spans="1:5">
      <c r="A31" s="2" t="s">
        <v>16</v>
      </c>
      <c r="B31" s="2">
        <v>2018</v>
      </c>
      <c r="D31" s="2" t="s">
        <v>16</v>
      </c>
      <c r="E31" s="2">
        <v>2018</v>
      </c>
    </row>
    <row r="32" spans="1:5">
      <c r="A32" s="2" t="s">
        <v>7</v>
      </c>
      <c r="B32" s="2">
        <v>2018</v>
      </c>
      <c r="D32" s="2" t="s">
        <v>7</v>
      </c>
      <c r="E32" s="2">
        <v>2018</v>
      </c>
    </row>
    <row r="33" spans="1:5">
      <c r="A33" s="2" t="s">
        <v>16</v>
      </c>
      <c r="B33" s="2">
        <v>2018</v>
      </c>
      <c r="D33" s="2" t="s">
        <v>16</v>
      </c>
      <c r="E33" s="2">
        <v>2018</v>
      </c>
    </row>
    <row r="34" spans="1:5">
      <c r="A34" s="2" t="s">
        <v>14</v>
      </c>
      <c r="B34" s="2">
        <v>2018</v>
      </c>
      <c r="D34" s="2" t="s">
        <v>14</v>
      </c>
      <c r="E34" s="2">
        <v>2018</v>
      </c>
    </row>
    <row r="35" spans="1:5">
      <c r="A35" s="2" t="s">
        <v>11</v>
      </c>
      <c r="B35" s="2">
        <v>2018</v>
      </c>
      <c r="D35" s="2" t="s">
        <v>11</v>
      </c>
      <c r="E35" s="2">
        <v>2018</v>
      </c>
    </row>
    <row r="36" spans="1:5">
      <c r="A36" s="2" t="s">
        <v>8</v>
      </c>
      <c r="B36" s="2">
        <v>2018</v>
      </c>
      <c r="D36" s="2" t="s">
        <v>8</v>
      </c>
      <c r="E36" s="2">
        <v>2018</v>
      </c>
    </row>
    <row r="37" spans="1:5">
      <c r="A37" s="2" t="s">
        <v>11</v>
      </c>
      <c r="B37" s="2">
        <v>2018</v>
      </c>
      <c r="D37" s="2" t="s">
        <v>11</v>
      </c>
      <c r="E37" s="2">
        <v>2018</v>
      </c>
    </row>
    <row r="38" spans="1:5">
      <c r="A38" s="2" t="s">
        <v>13</v>
      </c>
      <c r="B38" s="2">
        <v>2018</v>
      </c>
      <c r="D38" s="2" t="s">
        <v>13</v>
      </c>
      <c r="E38" s="2">
        <v>2018</v>
      </c>
    </row>
    <row r="39" spans="1:5">
      <c r="A39" s="2" t="s">
        <v>6</v>
      </c>
      <c r="B39" s="2">
        <v>2018</v>
      </c>
      <c r="D39" s="2" t="s">
        <v>6</v>
      </c>
      <c r="E39" s="2">
        <v>2018</v>
      </c>
    </row>
    <row r="40" spans="1:5">
      <c r="A40" s="2" t="s">
        <v>17</v>
      </c>
      <c r="B40" s="2">
        <v>2018</v>
      </c>
      <c r="D40" s="2" t="s">
        <v>17</v>
      </c>
      <c r="E40" s="2">
        <v>2018</v>
      </c>
    </row>
    <row r="41" spans="1:5">
      <c r="A41" s="2" t="s">
        <v>6</v>
      </c>
      <c r="B41" s="2">
        <v>2018</v>
      </c>
      <c r="D41" s="2" t="s">
        <v>6</v>
      </c>
      <c r="E41" s="2">
        <v>2018</v>
      </c>
    </row>
    <row r="42" spans="1:5">
      <c r="A42" s="2">
        <v>86</v>
      </c>
      <c r="B42" s="2">
        <v>2018</v>
      </c>
      <c r="D42" s="2">
        <v>86</v>
      </c>
      <c r="E42" s="2">
        <v>2018</v>
      </c>
    </row>
    <row r="43" spans="1:5">
      <c r="A43" s="2" t="s">
        <v>7</v>
      </c>
      <c r="B43" s="2">
        <v>2018</v>
      </c>
      <c r="D43" s="2" t="s">
        <v>7</v>
      </c>
      <c r="E43" s="2">
        <v>2018</v>
      </c>
    </row>
    <row r="44" spans="1:5">
      <c r="A44" s="2" t="s">
        <v>8</v>
      </c>
      <c r="B44" s="2">
        <v>2018</v>
      </c>
      <c r="D44" s="2" t="s">
        <v>8</v>
      </c>
      <c r="E44" s="2">
        <v>2018</v>
      </c>
    </row>
    <row r="45" spans="1:5">
      <c r="A45" s="2" t="s">
        <v>12</v>
      </c>
      <c r="B45" s="2">
        <v>2018</v>
      </c>
      <c r="D45" s="2" t="s">
        <v>12</v>
      </c>
      <c r="E45" s="2">
        <v>2018</v>
      </c>
    </row>
    <row r="46" spans="1:5">
      <c r="A46" s="2" t="s">
        <v>10</v>
      </c>
      <c r="B46" s="2">
        <v>2018</v>
      </c>
      <c r="D46" s="2" t="s">
        <v>10</v>
      </c>
      <c r="E46" s="2">
        <v>2018</v>
      </c>
    </row>
    <row r="47" spans="1:5">
      <c r="A47" s="2" t="s">
        <v>12</v>
      </c>
      <c r="B47" s="2">
        <v>2018</v>
      </c>
      <c r="D47" s="2" t="s">
        <v>12</v>
      </c>
      <c r="E47" s="2">
        <v>2018</v>
      </c>
    </row>
    <row r="48" spans="1:5">
      <c r="A48" s="2" t="s">
        <v>8</v>
      </c>
      <c r="B48" s="2">
        <v>2018</v>
      </c>
      <c r="D48" s="2" t="s">
        <v>8</v>
      </c>
      <c r="E48" s="2">
        <v>2018</v>
      </c>
    </row>
    <row r="49" spans="1:5">
      <c r="A49" s="2" t="s">
        <v>8</v>
      </c>
      <c r="B49" s="2">
        <v>2018</v>
      </c>
      <c r="D49" s="2" t="s">
        <v>8</v>
      </c>
      <c r="E49" s="2">
        <v>2018</v>
      </c>
    </row>
    <row r="50" spans="1:5">
      <c r="A50" s="2" t="s">
        <v>8</v>
      </c>
      <c r="B50" s="2">
        <v>2018</v>
      </c>
      <c r="D50" s="2" t="s">
        <v>8</v>
      </c>
      <c r="E50" s="2">
        <v>2018</v>
      </c>
    </row>
    <row r="51" spans="1:5">
      <c r="A51" s="2" t="s">
        <v>13</v>
      </c>
      <c r="B51" s="2">
        <v>2018</v>
      </c>
      <c r="D51" s="2" t="s">
        <v>13</v>
      </c>
      <c r="E51" s="2">
        <v>2018</v>
      </c>
    </row>
    <row r="52" spans="1:5">
      <c r="A52" s="2" t="s">
        <v>6</v>
      </c>
      <c r="B52" s="2">
        <v>2018</v>
      </c>
      <c r="D52" s="2" t="s">
        <v>6</v>
      </c>
      <c r="E52" s="2">
        <v>2018</v>
      </c>
    </row>
    <row r="53" spans="1:5">
      <c r="A53" s="2" t="s">
        <v>8</v>
      </c>
      <c r="B53" s="2">
        <v>2018</v>
      </c>
      <c r="D53" s="2" t="s">
        <v>8</v>
      </c>
      <c r="E53" s="2">
        <v>2018</v>
      </c>
    </row>
    <row r="54" spans="1:5">
      <c r="A54" s="2" t="s">
        <v>6</v>
      </c>
      <c r="B54" s="2">
        <v>2019</v>
      </c>
      <c r="D54" s="2" t="s">
        <v>6</v>
      </c>
      <c r="E54" s="2">
        <v>2019</v>
      </c>
    </row>
    <row r="55" spans="1:5">
      <c r="A55" s="2" t="s">
        <v>6</v>
      </c>
      <c r="B55" s="2">
        <v>2019</v>
      </c>
      <c r="D55" s="2" t="s">
        <v>6</v>
      </c>
      <c r="E55" s="2">
        <v>2019</v>
      </c>
    </row>
    <row r="56" spans="1:5">
      <c r="A56" s="2" t="s">
        <v>10</v>
      </c>
      <c r="B56" s="2">
        <v>2019</v>
      </c>
      <c r="D56" s="2" t="s">
        <v>10</v>
      </c>
      <c r="E56" s="2">
        <v>2019</v>
      </c>
    </row>
    <row r="57" spans="1:5">
      <c r="A57" s="2" t="s">
        <v>6</v>
      </c>
      <c r="B57" s="2">
        <v>2019</v>
      </c>
      <c r="D57" s="2" t="s">
        <v>6</v>
      </c>
      <c r="E57" s="2">
        <v>2019</v>
      </c>
    </row>
    <row r="58" spans="1:5">
      <c r="A58" s="2" t="s">
        <v>6</v>
      </c>
      <c r="B58" s="2">
        <v>2019</v>
      </c>
      <c r="D58" s="2" t="s">
        <v>6</v>
      </c>
      <c r="E58" s="2">
        <v>2019</v>
      </c>
    </row>
    <row r="59" spans="1:5">
      <c r="A59" s="2" t="s">
        <v>9</v>
      </c>
      <c r="B59" s="2">
        <v>2019</v>
      </c>
      <c r="D59" s="2" t="s">
        <v>9</v>
      </c>
      <c r="E59" s="2">
        <v>2019</v>
      </c>
    </row>
    <row r="60" spans="1:5">
      <c r="A60" s="2" t="s">
        <v>13</v>
      </c>
      <c r="B60" s="2">
        <v>2019</v>
      </c>
      <c r="D60" s="2" t="s">
        <v>13</v>
      </c>
      <c r="E60" s="2">
        <v>2019</v>
      </c>
    </row>
    <row r="61" spans="1:5">
      <c r="A61" s="2" t="s">
        <v>6</v>
      </c>
      <c r="B61" s="2">
        <v>2019</v>
      </c>
      <c r="D61" s="2" t="s">
        <v>6</v>
      </c>
      <c r="E61" s="2">
        <v>2019</v>
      </c>
    </row>
    <row r="62" spans="1:5">
      <c r="A62" s="2" t="s">
        <v>11</v>
      </c>
      <c r="B62" s="2">
        <v>2019</v>
      </c>
      <c r="D62" s="2" t="s">
        <v>11</v>
      </c>
      <c r="E62" s="2">
        <v>2019</v>
      </c>
    </row>
    <row r="63" spans="1:5">
      <c r="A63" s="2" t="s">
        <v>9</v>
      </c>
      <c r="B63" s="2">
        <v>2019</v>
      </c>
      <c r="D63" s="2" t="s">
        <v>9</v>
      </c>
      <c r="E63" s="2">
        <v>2019</v>
      </c>
    </row>
    <row r="64" spans="1:5">
      <c r="A64" s="2" t="s">
        <v>7</v>
      </c>
      <c r="B64" s="2">
        <v>2019</v>
      </c>
      <c r="D64" s="2" t="s">
        <v>7</v>
      </c>
      <c r="E64" s="2">
        <v>2019</v>
      </c>
    </row>
    <row r="65" spans="1:5">
      <c r="A65" s="2" t="s">
        <v>8</v>
      </c>
      <c r="B65" s="2">
        <v>2019</v>
      </c>
      <c r="D65" s="2" t="s">
        <v>8</v>
      </c>
      <c r="E65" s="2">
        <v>2019</v>
      </c>
    </row>
    <row r="66" spans="1:5">
      <c r="A66" s="2" t="s">
        <v>11</v>
      </c>
      <c r="B66" s="2">
        <v>2019</v>
      </c>
      <c r="D66" s="2" t="s">
        <v>11</v>
      </c>
      <c r="E66" s="2">
        <v>2019</v>
      </c>
    </row>
    <row r="67" spans="1:5">
      <c r="A67" s="2" t="s">
        <v>6</v>
      </c>
      <c r="B67" s="2">
        <v>2019</v>
      </c>
      <c r="D67" s="2" t="s">
        <v>6</v>
      </c>
      <c r="E67" s="2">
        <v>2019</v>
      </c>
    </row>
    <row r="68" spans="1:5">
      <c r="A68" s="2" t="s">
        <v>13</v>
      </c>
      <c r="B68" s="2">
        <v>2019</v>
      </c>
      <c r="D68" s="2" t="s">
        <v>13</v>
      </c>
      <c r="E68" s="2">
        <v>2019</v>
      </c>
    </row>
    <row r="69" spans="1:5">
      <c r="A69" s="2" t="s">
        <v>14</v>
      </c>
      <c r="B69" s="2">
        <v>2019</v>
      </c>
      <c r="D69" s="2" t="s">
        <v>14</v>
      </c>
      <c r="E69" s="2">
        <v>2019</v>
      </c>
    </row>
    <row r="70" spans="1:5">
      <c r="A70" s="2" t="s">
        <v>14</v>
      </c>
      <c r="B70" s="2">
        <v>2019</v>
      </c>
      <c r="D70" s="2" t="s">
        <v>14</v>
      </c>
      <c r="E70" s="2">
        <v>2019</v>
      </c>
    </row>
    <row r="71" spans="1:5">
      <c r="A71" s="2" t="s">
        <v>8</v>
      </c>
      <c r="B71" s="2">
        <v>2019</v>
      </c>
      <c r="D71" s="2" t="s">
        <v>8</v>
      </c>
      <c r="E71" s="2">
        <v>2019</v>
      </c>
    </row>
    <row r="72" spans="1:5">
      <c r="A72" s="2" t="s">
        <v>13</v>
      </c>
      <c r="B72" s="2">
        <v>2019</v>
      </c>
      <c r="D72" s="2" t="s">
        <v>13</v>
      </c>
      <c r="E72" s="2">
        <v>2019</v>
      </c>
    </row>
    <row r="73" spans="1:5">
      <c r="A73" s="2" t="s">
        <v>15</v>
      </c>
      <c r="B73" s="2">
        <v>2019</v>
      </c>
      <c r="D73" s="2" t="s">
        <v>15</v>
      </c>
      <c r="E73" s="2">
        <v>2019</v>
      </c>
    </row>
    <row r="74" spans="1:5">
      <c r="A74" s="2" t="s">
        <v>8</v>
      </c>
      <c r="B74" s="2">
        <v>2019</v>
      </c>
      <c r="D74" s="2" t="s">
        <v>8</v>
      </c>
      <c r="E74" s="2">
        <v>2019</v>
      </c>
    </row>
    <row r="75" spans="1:5">
      <c r="A75" s="2" t="s">
        <v>8</v>
      </c>
      <c r="B75" s="2">
        <v>2019</v>
      </c>
      <c r="D75" s="2" t="s">
        <v>8</v>
      </c>
      <c r="E75" s="2">
        <v>2019</v>
      </c>
    </row>
    <row r="76" spans="1:5">
      <c r="A76" s="2" t="s">
        <v>6</v>
      </c>
      <c r="B76" s="2">
        <v>2019</v>
      </c>
      <c r="D76" s="2" t="s">
        <v>6</v>
      </c>
      <c r="E76" s="2">
        <v>2019</v>
      </c>
    </row>
    <row r="77" spans="1:5">
      <c r="A77" s="2" t="s">
        <v>14</v>
      </c>
      <c r="B77" s="2">
        <v>2019</v>
      </c>
      <c r="D77" s="2" t="s">
        <v>14</v>
      </c>
      <c r="E77" s="2">
        <v>2019</v>
      </c>
    </row>
    <row r="78" spans="1:5">
      <c r="A78" s="2" t="s">
        <v>7</v>
      </c>
      <c r="B78" s="2">
        <v>2019</v>
      </c>
      <c r="D78" s="2" t="s">
        <v>7</v>
      </c>
      <c r="E78" s="2">
        <v>2019</v>
      </c>
    </row>
    <row r="79" spans="1:5">
      <c r="A79" s="2">
        <v>86</v>
      </c>
      <c r="B79" s="2">
        <v>2019</v>
      </c>
      <c r="D79" s="2">
        <v>86</v>
      </c>
      <c r="E79" s="2">
        <v>2019</v>
      </c>
    </row>
    <row r="80" spans="1:5">
      <c r="A80" s="2" t="s">
        <v>13</v>
      </c>
      <c r="B80" s="2">
        <v>2019</v>
      </c>
      <c r="D80" s="2" t="s">
        <v>13</v>
      </c>
      <c r="E80" s="2">
        <v>2019</v>
      </c>
    </row>
    <row r="81" spans="1:5">
      <c r="A81" s="2" t="s">
        <v>15</v>
      </c>
      <c r="B81" s="2">
        <v>2019</v>
      </c>
      <c r="D81" s="2" t="s">
        <v>15</v>
      </c>
      <c r="E81" s="2">
        <v>2019</v>
      </c>
    </row>
    <row r="82" spans="1:5">
      <c r="A82" s="2" t="s">
        <v>6</v>
      </c>
      <c r="B82" s="2">
        <v>2019</v>
      </c>
      <c r="D82" s="2" t="s">
        <v>6</v>
      </c>
      <c r="E82" s="2">
        <v>2019</v>
      </c>
    </row>
    <row r="83" spans="1:5">
      <c r="A83" s="2" t="s">
        <v>13</v>
      </c>
      <c r="B83" s="2">
        <v>2019</v>
      </c>
      <c r="D83" s="2" t="s">
        <v>13</v>
      </c>
      <c r="E83" s="2">
        <v>2019</v>
      </c>
    </row>
    <row r="84" spans="1:5">
      <c r="A84" s="2" t="s">
        <v>6</v>
      </c>
      <c r="B84" s="2">
        <v>2019</v>
      </c>
      <c r="D84" s="2" t="s">
        <v>6</v>
      </c>
      <c r="E84" s="2">
        <v>2019</v>
      </c>
    </row>
    <row r="85" spans="1:5">
      <c r="A85" s="2" t="s">
        <v>8</v>
      </c>
      <c r="B85" s="2">
        <v>2019</v>
      </c>
      <c r="D85" s="2" t="s">
        <v>8</v>
      </c>
      <c r="E85" s="2">
        <v>2019</v>
      </c>
    </row>
    <row r="86" spans="1:5">
      <c r="A86" s="2" t="s">
        <v>14</v>
      </c>
      <c r="B86" s="2">
        <v>2019</v>
      </c>
      <c r="D86" s="2" t="s">
        <v>14</v>
      </c>
      <c r="E86" s="2">
        <v>2019</v>
      </c>
    </row>
    <row r="87" spans="1:5">
      <c r="A87" s="2" t="s">
        <v>14</v>
      </c>
      <c r="B87" s="2">
        <v>2019</v>
      </c>
      <c r="D87" s="2" t="s">
        <v>14</v>
      </c>
      <c r="E87" s="2">
        <v>2019</v>
      </c>
    </row>
    <row r="88" spans="1:5">
      <c r="A88" s="2" t="s">
        <v>14</v>
      </c>
      <c r="B88" s="2">
        <v>2019</v>
      </c>
      <c r="D88" s="2" t="s">
        <v>14</v>
      </c>
      <c r="E88" s="2">
        <v>2019</v>
      </c>
    </row>
    <row r="89" spans="1:5">
      <c r="A89" s="2" t="s">
        <v>13</v>
      </c>
      <c r="B89" s="2">
        <v>2019</v>
      </c>
      <c r="D89" s="2" t="s">
        <v>13</v>
      </c>
      <c r="E89" s="2">
        <v>2019</v>
      </c>
    </row>
    <row r="90" spans="1:5">
      <c r="A90" s="2" t="s">
        <v>8</v>
      </c>
      <c r="B90" s="2">
        <v>2019</v>
      </c>
      <c r="D90" s="2" t="s">
        <v>8</v>
      </c>
      <c r="E90" s="2">
        <v>2019</v>
      </c>
    </row>
    <row r="91" spans="1:5">
      <c r="A91" s="2" t="s">
        <v>6</v>
      </c>
      <c r="B91" s="2">
        <v>2019</v>
      </c>
      <c r="D91" s="2" t="s">
        <v>6</v>
      </c>
      <c r="E91" s="2">
        <v>2019</v>
      </c>
    </row>
    <row r="92" spans="1:5">
      <c r="A92" s="2" t="s">
        <v>13</v>
      </c>
      <c r="B92" s="2">
        <v>2019</v>
      </c>
      <c r="D92" s="2" t="s">
        <v>13</v>
      </c>
      <c r="E92" s="2">
        <v>2019</v>
      </c>
    </row>
    <row r="93" spans="1:5">
      <c r="A93" s="2" t="s">
        <v>6</v>
      </c>
      <c r="B93" s="2">
        <v>2019</v>
      </c>
      <c r="D93" s="2" t="s">
        <v>6</v>
      </c>
      <c r="E93" s="2">
        <v>2019</v>
      </c>
    </row>
    <row r="94" spans="1:5">
      <c r="A94" s="2" t="s">
        <v>7</v>
      </c>
      <c r="B94" s="2">
        <v>2019</v>
      </c>
      <c r="D94" s="2" t="s">
        <v>7</v>
      </c>
      <c r="E94" s="2">
        <v>2019</v>
      </c>
    </row>
    <row r="95" spans="1:5">
      <c r="A95" s="2" t="s">
        <v>8</v>
      </c>
      <c r="B95" s="2">
        <v>2019</v>
      </c>
      <c r="D95" s="2" t="s">
        <v>8</v>
      </c>
      <c r="E95" s="2">
        <v>2019</v>
      </c>
    </row>
    <row r="96" spans="1:5">
      <c r="A96" s="2" t="s">
        <v>18</v>
      </c>
      <c r="B96" s="2">
        <v>2019</v>
      </c>
      <c r="D96" s="2" t="s">
        <v>18</v>
      </c>
      <c r="E96" s="2">
        <v>2019</v>
      </c>
    </row>
    <row r="97" spans="1:5">
      <c r="A97" s="2" t="s">
        <v>8</v>
      </c>
      <c r="B97" s="2">
        <v>2019</v>
      </c>
      <c r="D97" s="2" t="s">
        <v>8</v>
      </c>
      <c r="E97" s="2">
        <v>2019</v>
      </c>
    </row>
    <row r="98" spans="1:5">
      <c r="A98" s="2" t="s">
        <v>8</v>
      </c>
      <c r="B98" s="2">
        <v>2019</v>
      </c>
      <c r="D98" s="2" t="s">
        <v>8</v>
      </c>
      <c r="E98" s="2">
        <v>2019</v>
      </c>
    </row>
    <row r="99" spans="1:5">
      <c r="A99" s="2" t="s">
        <v>18</v>
      </c>
      <c r="B99" s="2">
        <v>2019</v>
      </c>
      <c r="D99" s="2" t="s">
        <v>18</v>
      </c>
      <c r="E99" s="2">
        <v>2019</v>
      </c>
    </row>
    <row r="100" spans="1:5">
      <c r="A100" s="2" t="s">
        <v>8</v>
      </c>
      <c r="B100" s="2">
        <v>2019</v>
      </c>
      <c r="D100" s="2" t="s">
        <v>8</v>
      </c>
      <c r="E100" s="2">
        <v>2019</v>
      </c>
    </row>
    <row r="101" spans="1:5">
      <c r="A101" s="2" t="s">
        <v>6</v>
      </c>
      <c r="B101" s="2">
        <v>2019</v>
      </c>
      <c r="D101" s="2" t="s">
        <v>6</v>
      </c>
      <c r="E101" s="2">
        <v>2019</v>
      </c>
    </row>
    <row r="102" spans="1:5">
      <c r="A102" s="2" t="s">
        <v>6</v>
      </c>
      <c r="B102" s="2">
        <v>2019</v>
      </c>
      <c r="D102" s="2" t="s">
        <v>6</v>
      </c>
      <c r="E102" s="2">
        <v>2019</v>
      </c>
    </row>
    <row r="103" spans="1:5">
      <c r="A103" s="2" t="s">
        <v>10</v>
      </c>
      <c r="B103" s="2">
        <v>2019</v>
      </c>
      <c r="D103" s="2" t="s">
        <v>10</v>
      </c>
      <c r="E103" s="2">
        <v>2019</v>
      </c>
    </row>
    <row r="104" spans="1:5">
      <c r="A104" s="2" t="s">
        <v>12</v>
      </c>
      <c r="B104" s="2">
        <v>2019</v>
      </c>
      <c r="D104" s="2" t="s">
        <v>12</v>
      </c>
      <c r="E104" s="2">
        <v>2019</v>
      </c>
    </row>
    <row r="105" spans="1:5">
      <c r="A105" s="2" t="s">
        <v>10</v>
      </c>
      <c r="B105" s="2">
        <v>2019</v>
      </c>
      <c r="D105" s="2" t="s">
        <v>10</v>
      </c>
      <c r="E105" s="2">
        <v>2019</v>
      </c>
    </row>
    <row r="106" spans="1:5">
      <c r="A106" s="2" t="s">
        <v>6</v>
      </c>
      <c r="B106" s="2">
        <v>2019</v>
      </c>
      <c r="D106" s="2" t="s">
        <v>6</v>
      </c>
      <c r="E106" s="2">
        <v>2019</v>
      </c>
    </row>
    <row r="107" spans="1:5">
      <c r="A107" s="2" t="s">
        <v>8</v>
      </c>
      <c r="B107" s="2">
        <v>2019</v>
      </c>
      <c r="D107" s="2" t="s">
        <v>8</v>
      </c>
      <c r="E107" s="2">
        <v>2019</v>
      </c>
    </row>
    <row r="108" spans="1:5">
      <c r="A108" s="2" t="s">
        <v>8</v>
      </c>
      <c r="B108" s="2">
        <v>2019</v>
      </c>
      <c r="D108" s="2" t="s">
        <v>8</v>
      </c>
      <c r="E108" s="2">
        <v>2019</v>
      </c>
    </row>
    <row r="109" spans="1:5">
      <c r="A109" s="2" t="s">
        <v>8</v>
      </c>
      <c r="B109" s="2">
        <v>2020</v>
      </c>
      <c r="D109" s="2" t="s">
        <v>8</v>
      </c>
      <c r="E109" s="2">
        <v>2020</v>
      </c>
    </row>
    <row r="110" spans="1:5">
      <c r="A110" s="2" t="s">
        <v>19</v>
      </c>
      <c r="B110" s="2">
        <v>2020</v>
      </c>
      <c r="D110" s="2" t="s">
        <v>19</v>
      </c>
      <c r="E110" s="2">
        <v>2020</v>
      </c>
    </row>
    <row r="111" spans="1:5">
      <c r="A111" s="2" t="s">
        <v>6</v>
      </c>
      <c r="B111" s="2">
        <v>2020</v>
      </c>
      <c r="D111" s="2" t="s">
        <v>6</v>
      </c>
      <c r="E111" s="2">
        <v>2020</v>
      </c>
    </row>
    <row r="112" spans="1:5">
      <c r="A112" s="2" t="s">
        <v>19</v>
      </c>
      <c r="B112" s="2">
        <v>2020</v>
      </c>
      <c r="D112" s="2" t="s">
        <v>19</v>
      </c>
      <c r="E112" s="2">
        <v>2020</v>
      </c>
    </row>
    <row r="113" spans="1:5">
      <c r="A113" s="2" t="s">
        <v>19</v>
      </c>
      <c r="B113" s="2">
        <v>2020</v>
      </c>
      <c r="D113" s="2" t="s">
        <v>19</v>
      </c>
      <c r="E113" s="2">
        <v>2020</v>
      </c>
    </row>
    <row r="114" spans="1:5">
      <c r="A114" s="2" t="s">
        <v>6</v>
      </c>
      <c r="B114" s="2">
        <v>2020</v>
      </c>
      <c r="D114" s="2" t="s">
        <v>6</v>
      </c>
      <c r="E114" s="2">
        <v>2020</v>
      </c>
    </row>
    <row r="115" spans="1:5">
      <c r="A115" s="2" t="s">
        <v>19</v>
      </c>
      <c r="B115" s="2">
        <v>2020</v>
      </c>
      <c r="D115" s="2" t="s">
        <v>19</v>
      </c>
      <c r="E115" s="2">
        <v>2020</v>
      </c>
    </row>
    <row r="116" spans="1:5">
      <c r="A116" s="2" t="s">
        <v>19</v>
      </c>
      <c r="B116" s="2">
        <v>2020</v>
      </c>
      <c r="D116" s="2" t="s">
        <v>19</v>
      </c>
      <c r="E116" s="2">
        <v>2020</v>
      </c>
    </row>
    <row r="117" spans="1:5">
      <c r="A117" s="2" t="s">
        <v>7</v>
      </c>
      <c r="B117" s="2">
        <v>2020</v>
      </c>
      <c r="D117" s="2" t="s">
        <v>7</v>
      </c>
      <c r="E117" s="2">
        <v>2020</v>
      </c>
    </row>
    <row r="118" spans="1:5">
      <c r="A118" s="2" t="s">
        <v>16</v>
      </c>
      <c r="B118" s="2">
        <v>2020</v>
      </c>
      <c r="D118" s="2" t="s">
        <v>16</v>
      </c>
      <c r="E118" s="2">
        <v>2020</v>
      </c>
    </row>
    <row r="119" spans="1:5">
      <c r="A119" s="2" t="s">
        <v>20</v>
      </c>
      <c r="B119" s="2">
        <v>2020</v>
      </c>
      <c r="D119" s="2" t="s">
        <v>20</v>
      </c>
      <c r="E119" s="2">
        <v>2020</v>
      </c>
    </row>
    <row r="120" spans="1:5">
      <c r="A120" s="2" t="s">
        <v>16</v>
      </c>
      <c r="B120" s="2">
        <v>2020</v>
      </c>
      <c r="D120" s="2" t="s">
        <v>16</v>
      </c>
      <c r="E120" s="2">
        <v>2020</v>
      </c>
    </row>
    <row r="121" spans="1:5">
      <c r="A121" s="2" t="s">
        <v>19</v>
      </c>
      <c r="B121" s="2">
        <v>2020</v>
      </c>
      <c r="D121" s="2" t="s">
        <v>19</v>
      </c>
      <c r="E121" s="2">
        <v>2020</v>
      </c>
    </row>
    <row r="122" spans="1:5">
      <c r="A122" s="2" t="s">
        <v>19</v>
      </c>
      <c r="B122" s="2">
        <v>2020</v>
      </c>
      <c r="D122" s="2" t="s">
        <v>19</v>
      </c>
      <c r="E122" s="2">
        <v>2020</v>
      </c>
    </row>
    <row r="123" spans="1:5">
      <c r="A123" s="2" t="s">
        <v>13</v>
      </c>
      <c r="B123" s="2">
        <v>2020</v>
      </c>
      <c r="D123" s="2" t="s">
        <v>13</v>
      </c>
      <c r="E123" s="2">
        <v>2020</v>
      </c>
    </row>
    <row r="124" spans="1:5">
      <c r="A124" s="2" t="s">
        <v>9</v>
      </c>
      <c r="B124" s="2">
        <v>2020</v>
      </c>
      <c r="D124" s="2" t="s">
        <v>9</v>
      </c>
      <c r="E124" s="2">
        <v>2020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N21" sqref="N21"/>
    </sheetView>
  </sheetViews>
  <sheetFormatPr defaultRowHeight="15"/>
  <cols>
    <col min="1" max="1" width="13.140625" bestFit="1" customWidth="1"/>
    <col min="2" max="2" width="14" bestFit="1" customWidth="1"/>
    <col min="3" max="3" width="10.85546875" customWidth="1"/>
  </cols>
  <sheetData>
    <row r="1" spans="1:4">
      <c r="A1" s="19" t="s">
        <v>24</v>
      </c>
      <c r="B1" s="19" t="s">
        <v>25</v>
      </c>
      <c r="C1" s="19"/>
      <c r="D1" s="19"/>
    </row>
    <row r="2" spans="1:4">
      <c r="A2" s="19" t="s">
        <v>21</v>
      </c>
      <c r="B2" s="19">
        <v>2018</v>
      </c>
      <c r="C2" s="19">
        <v>2019</v>
      </c>
      <c r="D2" s="19">
        <v>2020</v>
      </c>
    </row>
    <row r="3" spans="1:4">
      <c r="A3" s="9">
        <v>86</v>
      </c>
      <c r="B3" s="10">
        <v>1</v>
      </c>
      <c r="C3" s="10">
        <v>1</v>
      </c>
      <c r="D3" s="10"/>
    </row>
    <row r="4" spans="1:4">
      <c r="A4" s="9" t="s">
        <v>13</v>
      </c>
      <c r="B4" s="10">
        <v>7</v>
      </c>
      <c r="C4" s="10">
        <v>7</v>
      </c>
      <c r="D4" s="10">
        <v>1</v>
      </c>
    </row>
    <row r="5" spans="1:4">
      <c r="A5" s="9" t="s">
        <v>18</v>
      </c>
      <c r="B5" s="10"/>
      <c r="C5" s="10">
        <v>2</v>
      </c>
      <c r="D5" s="10"/>
    </row>
    <row r="6" spans="1:4">
      <c r="A6" s="9" t="s">
        <v>8</v>
      </c>
      <c r="B6" s="10">
        <v>10</v>
      </c>
      <c r="C6" s="10">
        <v>12</v>
      </c>
      <c r="D6" s="10">
        <v>1</v>
      </c>
    </row>
    <row r="7" spans="1:4">
      <c r="A7" s="9" t="s">
        <v>14</v>
      </c>
      <c r="B7" s="10">
        <v>4</v>
      </c>
      <c r="C7" s="10">
        <v>6</v>
      </c>
      <c r="D7" s="10"/>
    </row>
    <row r="8" spans="1:4">
      <c r="A8" s="9" t="s">
        <v>20</v>
      </c>
      <c r="B8" s="10"/>
      <c r="C8" s="10"/>
      <c r="D8" s="10">
        <v>1</v>
      </c>
    </row>
    <row r="9" spans="1:4">
      <c r="A9" s="9" t="s">
        <v>11</v>
      </c>
      <c r="B9" s="10">
        <v>7</v>
      </c>
      <c r="C9" s="10">
        <v>2</v>
      </c>
      <c r="D9" s="10"/>
    </row>
    <row r="10" spans="1:4">
      <c r="A10" s="9" t="s">
        <v>15</v>
      </c>
      <c r="B10" s="10">
        <v>1</v>
      </c>
      <c r="C10" s="10">
        <v>2</v>
      </c>
      <c r="D10" s="10"/>
    </row>
    <row r="11" spans="1:4">
      <c r="A11" s="9" t="s">
        <v>16</v>
      </c>
      <c r="B11" s="10">
        <v>2</v>
      </c>
      <c r="C11" s="10"/>
      <c r="D11" s="10">
        <v>2</v>
      </c>
    </row>
    <row r="12" spans="1:4">
      <c r="A12" s="9" t="s">
        <v>17</v>
      </c>
      <c r="B12" s="10">
        <v>1</v>
      </c>
      <c r="C12" s="10"/>
      <c r="D12" s="10"/>
    </row>
    <row r="13" spans="1:4">
      <c r="A13" s="9" t="s">
        <v>12</v>
      </c>
      <c r="B13" s="10">
        <v>4</v>
      </c>
      <c r="C13" s="10">
        <v>1</v>
      </c>
      <c r="D13" s="10"/>
    </row>
    <row r="14" spans="1:4">
      <c r="A14" s="9" t="s">
        <v>9</v>
      </c>
      <c r="B14" s="10">
        <v>1</v>
      </c>
      <c r="C14" s="10">
        <v>2</v>
      </c>
      <c r="D14" s="10">
        <v>1</v>
      </c>
    </row>
    <row r="15" spans="1:4">
      <c r="A15" s="9" t="s">
        <v>10</v>
      </c>
      <c r="B15" s="10">
        <v>3</v>
      </c>
      <c r="C15" s="10">
        <v>3</v>
      </c>
      <c r="D15" s="10"/>
    </row>
    <row r="16" spans="1:4">
      <c r="A16" s="9" t="s">
        <v>19</v>
      </c>
      <c r="B16" s="10"/>
      <c r="C16" s="10"/>
      <c r="D16" s="10">
        <v>7</v>
      </c>
    </row>
    <row r="17" spans="1:4">
      <c r="A17" s="9" t="s">
        <v>6</v>
      </c>
      <c r="B17" s="10">
        <v>5</v>
      </c>
      <c r="C17" s="10">
        <v>14</v>
      </c>
      <c r="D17" s="10">
        <v>2</v>
      </c>
    </row>
    <row r="18" spans="1:4">
      <c r="A18" s="9" t="s">
        <v>7</v>
      </c>
      <c r="B18" s="10">
        <v>6</v>
      </c>
      <c r="C18" s="10">
        <v>3</v>
      </c>
      <c r="D18" s="10">
        <v>1</v>
      </c>
    </row>
    <row r="19" spans="1:4">
      <c r="A19" s="14" t="s">
        <v>23</v>
      </c>
      <c r="B19" s="15">
        <v>52</v>
      </c>
      <c r="C19" s="15">
        <v>55</v>
      </c>
      <c r="D19" s="15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1</vt:lpstr>
      <vt:lpstr>Start Toyota data</vt:lpstr>
      <vt:lpstr>Pivot &amp; Data</vt:lpstr>
      <vt:lpstr>T Table</vt:lpstr>
      <vt:lpstr>Best case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2026-05-06T17:12:50Z</dcterms:created>
  <dcterms:modified xsi:type="dcterms:W3CDTF">2026-05-06T18:14:32Z</dcterms:modified>
</cp:coreProperties>
</file>